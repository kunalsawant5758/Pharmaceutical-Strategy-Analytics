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pivotTables/pivotTable6.xml" ContentType="application/vnd.openxmlformats-officedocument.spreadsheetml.pivotTable+xml"/>
  <Override PartName="/xl/tables/table7.xml" ContentType="application/vnd.openxmlformats-officedocument.spreadsheetml.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unal Sawant\Downloads\"/>
    </mc:Choice>
  </mc:AlternateContent>
  <xr:revisionPtr revIDLastSave="0" documentId="13_ncr:1_{ED8AA46B-D536-4C9E-95E0-7F311C73DA48}" xr6:coauthVersionLast="47" xr6:coauthVersionMax="47" xr10:uidLastSave="{00000000-0000-0000-0000-000000000000}"/>
  <bookViews>
    <workbookView xWindow="-110" yWindow="-110" windowWidth="19420" windowHeight="10300" firstSheet="5" activeTab="8" xr2:uid="{00000000-000D-0000-FFFF-FFFF00000000}"/>
  </bookViews>
  <sheets>
    <sheet name="Launch_Tracker" sheetId="1" r:id="rId1"/>
    <sheet name="Weekly Launch Report" sheetId="5" r:id="rId2"/>
    <sheet name="Sales_Data" sheetId="2" r:id="rId3"/>
    <sheet name="Sales Tracker" sheetId="7" r:id="rId4"/>
    <sheet name="Inventory" sheetId="3" r:id="rId5"/>
    <sheet name="Reorder Plan" sheetId="8" r:id="rId6"/>
    <sheet name="Artwork_Pipeline" sheetId="4" r:id="rId7"/>
    <sheet name="Artwork Progress" sheetId="9" r:id="rId8"/>
    <sheet name="Executive Insights" sheetId="10" r:id="rId9"/>
  </sheets>
  <definedNames>
    <definedName name="_xlnm._FilterDatabase" localSheetId="1" hidden="1">'Weekly Launch Report'!$B$11:$C$28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7" i="7" l="1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F8" i="4"/>
  <c r="F2" i="4"/>
  <c r="F3" i="4"/>
  <c r="F4" i="4"/>
  <c r="F5" i="4"/>
  <c r="F6" i="4"/>
  <c r="F7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L15" i="7"/>
  <c r="L16" i="7"/>
  <c r="L8" i="7"/>
  <c r="L9" i="7"/>
  <c r="L10" i="7"/>
  <c r="L11" i="7"/>
  <c r="L12" i="7"/>
  <c r="L13" i="7"/>
  <c r="L14" i="7"/>
  <c r="L7" i="7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J2" i="1"/>
  <c r="J15" i="1"/>
  <c r="J4" i="1"/>
  <c r="J8" i="1"/>
  <c r="J30" i="1"/>
  <c r="J7" i="1"/>
  <c r="J47" i="1"/>
  <c r="J37" i="1"/>
  <c r="J49" i="1"/>
  <c r="J51" i="1"/>
  <c r="J10" i="1"/>
  <c r="J13" i="1"/>
  <c r="J14" i="1"/>
  <c r="J9" i="1"/>
  <c r="J20" i="1"/>
  <c r="J18" i="1"/>
  <c r="J16" i="1"/>
  <c r="J23" i="1"/>
  <c r="J36" i="1"/>
  <c r="J3" i="1"/>
  <c r="J28" i="1"/>
  <c r="J26" i="1"/>
  <c r="J17" i="1"/>
  <c r="J48" i="1"/>
  <c r="J31" i="1"/>
  <c r="J27" i="1"/>
  <c r="J11" i="1"/>
  <c r="J29" i="1"/>
  <c r="J19" i="1"/>
  <c r="J42" i="1"/>
  <c r="J32" i="1"/>
  <c r="J33" i="1"/>
  <c r="J34" i="1"/>
  <c r="J6" i="1"/>
  <c r="J24" i="1"/>
  <c r="J43" i="1"/>
  <c r="J5" i="1"/>
  <c r="J12" i="1"/>
  <c r="J40" i="1"/>
  <c r="J41" i="1"/>
  <c r="J25" i="1"/>
  <c r="J35" i="1"/>
  <c r="J44" i="1"/>
  <c r="J45" i="1"/>
  <c r="J46" i="1"/>
  <c r="J22" i="1"/>
  <c r="J38" i="1"/>
  <c r="J21" i="1"/>
  <c r="J50" i="1"/>
  <c r="J39" i="1"/>
  <c r="I39" i="1"/>
  <c r="I2" i="1"/>
  <c r="I15" i="1"/>
  <c r="I4" i="1"/>
  <c r="I8" i="1"/>
  <c r="I30" i="1"/>
  <c r="I7" i="1"/>
  <c r="I47" i="1"/>
  <c r="I37" i="1"/>
  <c r="I49" i="1"/>
  <c r="I51" i="1"/>
  <c r="I10" i="1"/>
  <c r="I13" i="1"/>
  <c r="I14" i="1"/>
  <c r="I9" i="1"/>
  <c r="I20" i="1"/>
  <c r="I18" i="1"/>
  <c r="I16" i="1"/>
  <c r="I23" i="1"/>
  <c r="I36" i="1"/>
  <c r="I3" i="1"/>
  <c r="I28" i="1"/>
  <c r="I26" i="1"/>
  <c r="I17" i="1"/>
  <c r="I48" i="1"/>
  <c r="I31" i="1"/>
  <c r="I27" i="1"/>
  <c r="I11" i="1"/>
  <c r="I29" i="1"/>
  <c r="I19" i="1"/>
  <c r="I42" i="1"/>
  <c r="I32" i="1"/>
  <c r="I33" i="1"/>
  <c r="I34" i="1"/>
  <c r="I6" i="1"/>
  <c r="I24" i="1"/>
  <c r="I43" i="1"/>
  <c r="I5" i="1"/>
  <c r="I12" i="1"/>
  <c r="I40" i="1"/>
  <c r="I41" i="1"/>
  <c r="I25" i="1"/>
  <c r="I35" i="1"/>
  <c r="I44" i="1"/>
  <c r="I45" i="1"/>
  <c r="I46" i="1"/>
  <c r="I22" i="1"/>
  <c r="I38" i="1"/>
  <c r="I21" i="1"/>
  <c r="I50" i="1"/>
  <c r="F30" i="5"/>
  <c r="C30" i="5"/>
  <c r="F6" i="5"/>
  <c r="F7" i="5"/>
  <c r="F5" i="5"/>
  <c r="F8" i="5" s="1"/>
  <c r="C7" i="5"/>
  <c r="C6" i="5"/>
  <c r="C5" i="5"/>
  <c r="I7" i="5"/>
  <c r="I5" i="5"/>
  <c r="I6" i="5"/>
  <c r="I8" i="5" l="1"/>
  <c r="C8" i="5"/>
</calcChain>
</file>

<file path=xl/sharedStrings.xml><?xml version="1.0" encoding="utf-8"?>
<sst xmlns="http://schemas.openxmlformats.org/spreadsheetml/2006/main" count="2109" uniqueCount="199">
  <si>
    <t>Product_ID</t>
  </si>
  <si>
    <t>Product_Name</t>
  </si>
  <si>
    <t>Category</t>
  </si>
  <si>
    <t>Launch_Date</t>
  </si>
  <si>
    <t>Region</t>
  </si>
  <si>
    <t>Approval_Status</t>
  </si>
  <si>
    <t>Artwork_Status</t>
  </si>
  <si>
    <t>Launch_Status</t>
  </si>
  <si>
    <t>RPGGEN-001</t>
  </si>
  <si>
    <t>Generic Product 1</t>
  </si>
  <si>
    <t>Diabetes</t>
  </si>
  <si>
    <t>North</t>
  </si>
  <si>
    <t>Pending</t>
  </si>
  <si>
    <t>Draft</t>
  </si>
  <si>
    <t>Planned</t>
  </si>
  <si>
    <t>RPGGEN-002</t>
  </si>
  <si>
    <t>Generic Product 2</t>
  </si>
  <si>
    <t>East</t>
  </si>
  <si>
    <t>Review</t>
  </si>
  <si>
    <t>RPGGEN-003</t>
  </si>
  <si>
    <t>Generic Product 3</t>
  </si>
  <si>
    <t>West</t>
  </si>
  <si>
    <t>Approved</t>
  </si>
  <si>
    <t>Launched</t>
  </si>
  <si>
    <t>RPGGEN-004</t>
  </si>
  <si>
    <t>Generic Product 4</t>
  </si>
  <si>
    <t>Cardio</t>
  </si>
  <si>
    <t>In Progress</t>
  </si>
  <si>
    <t>RPGGEN-005</t>
  </si>
  <si>
    <t>Generic Product 5</t>
  </si>
  <si>
    <t>Respiratory</t>
  </si>
  <si>
    <t>South</t>
  </si>
  <si>
    <t>Under Review</t>
  </si>
  <si>
    <t>RPGGEN-006</t>
  </si>
  <si>
    <t>Generic Product 6</t>
  </si>
  <si>
    <t>Oncology</t>
  </si>
  <si>
    <t>RPGGEN-007</t>
  </si>
  <si>
    <t>Generic Product 7</t>
  </si>
  <si>
    <t>Gastro</t>
  </si>
  <si>
    <t>RPGGEN-008</t>
  </si>
  <si>
    <t>Generic Product 8</t>
  </si>
  <si>
    <t>RPGGEN-009</t>
  </si>
  <si>
    <t>Generic Product 9</t>
  </si>
  <si>
    <t>RPGGEN-010</t>
  </si>
  <si>
    <t>Generic Product 10</t>
  </si>
  <si>
    <t>RPGGEN-011</t>
  </si>
  <si>
    <t>Generic Product 11</t>
  </si>
  <si>
    <t>RPGGEN-012</t>
  </si>
  <si>
    <t>Generic Product 12</t>
  </si>
  <si>
    <t>RPGGEN-013</t>
  </si>
  <si>
    <t>Generic Product 13</t>
  </si>
  <si>
    <t>RPGGEN-014</t>
  </si>
  <si>
    <t>Generic Product 14</t>
  </si>
  <si>
    <t>RPGGEN-015</t>
  </si>
  <si>
    <t>Generic Product 15</t>
  </si>
  <si>
    <t>RPGGEN-016</t>
  </si>
  <si>
    <t>Generic Product 16</t>
  </si>
  <si>
    <t>RPGGEN-017</t>
  </si>
  <si>
    <t>Generic Product 17</t>
  </si>
  <si>
    <t>RPGGEN-018</t>
  </si>
  <si>
    <t>Generic Product 18</t>
  </si>
  <si>
    <t>RPGGEN-019</t>
  </si>
  <si>
    <t>Generic Product 19</t>
  </si>
  <si>
    <t>RPGGEN-020</t>
  </si>
  <si>
    <t>Generic Product 20</t>
  </si>
  <si>
    <t>RPGGEN-021</t>
  </si>
  <si>
    <t>Generic Product 21</t>
  </si>
  <si>
    <t>RPGGEN-022</t>
  </si>
  <si>
    <t>Generic Product 22</t>
  </si>
  <si>
    <t>RPGGEN-023</t>
  </si>
  <si>
    <t>Generic Product 23</t>
  </si>
  <si>
    <t>RPGGEN-024</t>
  </si>
  <si>
    <t>Generic Product 24</t>
  </si>
  <si>
    <t>RPGGEN-025</t>
  </si>
  <si>
    <t>Generic Product 25</t>
  </si>
  <si>
    <t>RPGGEN-026</t>
  </si>
  <si>
    <t>Generic Product 26</t>
  </si>
  <si>
    <t>RPGGEN-027</t>
  </si>
  <si>
    <t>Generic Product 27</t>
  </si>
  <si>
    <t>RPGGEN-028</t>
  </si>
  <si>
    <t>Generic Product 28</t>
  </si>
  <si>
    <t>RPGGEN-029</t>
  </si>
  <si>
    <t>Generic Product 29</t>
  </si>
  <si>
    <t>RPGGEN-030</t>
  </si>
  <si>
    <t>Generic Product 30</t>
  </si>
  <si>
    <t>RPGGEN-031</t>
  </si>
  <si>
    <t>Generic Product 31</t>
  </si>
  <si>
    <t>RPGGEN-032</t>
  </si>
  <si>
    <t>Generic Product 32</t>
  </si>
  <si>
    <t>RPGGEN-033</t>
  </si>
  <si>
    <t>Generic Product 33</t>
  </si>
  <si>
    <t>RPGGEN-034</t>
  </si>
  <si>
    <t>Generic Product 34</t>
  </si>
  <si>
    <t>RPGGEN-035</t>
  </si>
  <si>
    <t>Generic Product 35</t>
  </si>
  <si>
    <t>RPGGEN-036</t>
  </si>
  <si>
    <t>Generic Product 36</t>
  </si>
  <si>
    <t>RPGGEN-037</t>
  </si>
  <si>
    <t>Generic Product 37</t>
  </si>
  <si>
    <t>RPGGEN-038</t>
  </si>
  <si>
    <t>Generic Product 38</t>
  </si>
  <si>
    <t>RPGGEN-039</t>
  </si>
  <si>
    <t>Generic Product 39</t>
  </si>
  <si>
    <t>RPGGEN-040</t>
  </si>
  <si>
    <t>Generic Product 40</t>
  </si>
  <si>
    <t>RPGGEN-041</t>
  </si>
  <si>
    <t>Generic Product 41</t>
  </si>
  <si>
    <t>RPGGEN-042</t>
  </si>
  <si>
    <t>Generic Product 42</t>
  </si>
  <si>
    <t>RPGGEN-043</t>
  </si>
  <si>
    <t>Generic Product 43</t>
  </si>
  <si>
    <t>RPGGEN-044</t>
  </si>
  <si>
    <t>Generic Product 44</t>
  </si>
  <si>
    <t>RPGGEN-045</t>
  </si>
  <si>
    <t>Generic Product 45</t>
  </si>
  <si>
    <t>RPGGEN-046</t>
  </si>
  <si>
    <t>Generic Product 46</t>
  </si>
  <si>
    <t>RPGGEN-047</t>
  </si>
  <si>
    <t>Generic Product 47</t>
  </si>
  <si>
    <t>RPGGEN-048</t>
  </si>
  <si>
    <t>Generic Product 48</t>
  </si>
  <si>
    <t>RPGGEN-049</t>
  </si>
  <si>
    <t>Generic Product 49</t>
  </si>
  <si>
    <t>RPGGEN-050</t>
  </si>
  <si>
    <t>Generic Product 50</t>
  </si>
  <si>
    <t>Month</t>
  </si>
  <si>
    <t>Units_Sold</t>
  </si>
  <si>
    <t>Revenue_INR</t>
  </si>
  <si>
    <t>Opening_Stock</t>
  </si>
  <si>
    <t>Current_Stock</t>
  </si>
  <si>
    <t>Weekly_Demand</t>
  </si>
  <si>
    <t>Lead_Time_Days</t>
  </si>
  <si>
    <t>Safety_Stock</t>
  </si>
  <si>
    <t>Reorder_Point</t>
  </si>
  <si>
    <t>Artwork_Submission</t>
  </si>
  <si>
    <t>Review_Status</t>
  </si>
  <si>
    <t>Regulatory_Check</t>
  </si>
  <si>
    <t>Final_Signoff</t>
  </si>
  <si>
    <t>Submitted</t>
  </si>
  <si>
    <t>Changes Requested</t>
  </si>
  <si>
    <t>Signed Off</t>
  </si>
  <si>
    <t>In Review</t>
  </si>
  <si>
    <t>Count</t>
  </si>
  <si>
    <t>Inprogress</t>
  </si>
  <si>
    <t>SUM</t>
  </si>
  <si>
    <t>Approval pending</t>
  </si>
  <si>
    <t>Total</t>
  </si>
  <si>
    <t>Launch_Blocker</t>
  </si>
  <si>
    <t>Row Labels</t>
  </si>
  <si>
    <t>Blocked</t>
  </si>
  <si>
    <t>Ready</t>
  </si>
  <si>
    <t>Grand Total</t>
  </si>
  <si>
    <t>Count of Product_ID</t>
  </si>
  <si>
    <t>Readiness to Launch</t>
  </si>
  <si>
    <t>Launch Ready</t>
  </si>
  <si>
    <t>Artwork in draft</t>
  </si>
  <si>
    <t>Blocker_Reason</t>
  </si>
  <si>
    <t>Artwork Delay</t>
  </si>
  <si>
    <t>Multiple Issues</t>
  </si>
  <si>
    <t>Regulatory Delay</t>
  </si>
  <si>
    <t>Reason for Delay</t>
  </si>
  <si>
    <t>4th Week Launch Report</t>
  </si>
  <si>
    <t>Sum of Revenue_INR</t>
  </si>
  <si>
    <t>Month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</si>
  <si>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</si>
  <si>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</si>
  <si>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</si>
  <si>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</si>
  <si>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</si>
  <si>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</si>
  <si>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</si>
  <si>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</si>
  <si>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</si>
  <si>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</si>
  <si>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</si>
  <si>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</si>
  <si>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Contributon to Total Revenue</t>
  </si>
  <si>
    <t>Product ID</t>
  </si>
  <si>
    <t>Reorder_Status</t>
  </si>
  <si>
    <t>Reorder Required</t>
  </si>
  <si>
    <t>Stock Sufficient</t>
  </si>
  <si>
    <t>Products need to be Reordered</t>
  </si>
  <si>
    <t>Sales Tracker</t>
  </si>
  <si>
    <t>Complete</t>
  </si>
  <si>
    <t>Stage</t>
  </si>
  <si>
    <t>Awaiting Final Sign-off</t>
  </si>
  <si>
    <t>Regulatory Review</t>
  </si>
  <si>
    <t>Rework Required</t>
  </si>
  <si>
    <t>Submission Pending</t>
  </si>
  <si>
    <t>Artwork Stage</t>
  </si>
  <si>
    <t>Executive Insights:</t>
  </si>
  <si>
    <t>7. Monthly revenue remains relatively stable with moderate fluctuations.</t>
  </si>
  <si>
    <t>8. Revenue is concentrated among a small number of high-performing products.</t>
  </si>
  <si>
    <t>1. Only 5 of 50 products (10%) are launch-ready; 45 products remain blocked.</t>
  </si>
  <si>
    <t>2. Multiple issues (22 products) are the leading cause of launch delays.</t>
  </si>
  <si>
    <t>3. 17 products are pending approval, indicating a regulatory bottleneck.</t>
  </si>
  <si>
    <t>4. 22 products have completed the artwork process, while 12 are awaiting submission.</t>
  </si>
  <si>
    <t>5. 12 products require immediate reordering to avoid potential stock shortages.</t>
  </si>
  <si>
    <t>6. East is the highest revenue-generating region, while North records the lowest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</si>
</sst>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5" formatCode="&quot;₹&quot;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0" applyNumberFormat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0" fontId="5" fillId="0" borderId="0" xfId="0" applyFont="1"/>
    <xf numFmtId="0" fontId="4" fillId="0" borderId="0" xfId="0" applyFont="1"/>
    <xf numFmtId="0" fontId="0" fillId="0" borderId="10" xfId="0" applyBorder="1"/>
    <xf numFmtId="0" fontId="0" fillId="0" borderId="11" xfId="0" applyBorder="1"/>
    <xf numFmtId="0" fontId="2" fillId="2" borderId="12" xfId="0" applyFont="1" applyFill="1" applyBorder="1"/>
    <xf numFmtId="0" fontId="0" fillId="3" borderId="13" xfId="0" applyFont="1" applyFill="1" applyBorder="1"/>
    <xf numFmtId="0" fontId="6" fillId="3" borderId="5" xfId="0" applyFont="1" applyFill="1" applyBorder="1"/>
    <xf numFmtId="0" fontId="6" fillId="4" borderId="0" xfId="0" applyFont="1" applyFill="1"/>
    <xf numFmtId="0" fontId="6" fillId="4" borderId="9" xfId="0" applyFont="1" applyFill="1" applyBorder="1"/>
    <xf numFmtId="0" fontId="5" fillId="2" borderId="1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3" borderId="5" xfId="0" applyFont="1" applyFill="1" applyBorder="1"/>
    <xf numFmtId="0" fontId="3" fillId="3" borderId="10" xfId="0" applyFont="1" applyFill="1" applyBorder="1"/>
    <xf numFmtId="0" fontId="0" fillId="4" borderId="0" xfId="0" applyFill="1" applyBorder="1"/>
    <xf numFmtId="0" fontId="0" fillId="4" borderId="6" xfId="0" applyFont="1" applyFill="1" applyBorder="1"/>
    <xf numFmtId="165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10" fontId="3" fillId="4" borderId="0" xfId="0" applyNumberFormat="1" applyFont="1" applyFill="1"/>
    <xf numFmtId="0" fontId="2" fillId="2" borderId="1" xfId="0" applyFont="1" applyFill="1" applyBorder="1"/>
    <xf numFmtId="0" fontId="3" fillId="0" borderId="0" xfId="0" applyFont="1" applyAlignment="1">
      <alignment horizontal="center" vertical="center" wrapText="1"/>
    </xf>
    <xf numFmtId="0" fontId="5" fillId="2" borderId="1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3" fillId="4" borderId="0" xfId="0" applyFont="1" applyFill="1" applyAlignment="1">
      <alignment horizontal="left" wrapText="1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10" fillId="0" borderId="0" xfId="0" applyFont="1" applyBorder="1" applyAlignment="1">
      <alignment horizontal="left" vertical="top"/>
    </xf>
    <xf numFmtId="0" fontId="10" fillId="0" borderId="20" xfId="0" applyFont="1" applyBorder="1" applyAlignment="1">
      <alignment horizontal="left" vertical="top"/>
    </xf>
    <xf numFmtId="0" fontId="9" fillId="0" borderId="0" xfId="0" applyFont="1" applyBorder="1" applyAlignment="1">
      <alignment vertical="center"/>
    </xf>
    <xf numFmtId="165" fontId="0" fillId="0" borderId="0" xfId="0" pivotButton="1" applyNumberFormat="1"/>
    <xf numFmtId="165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26">
    <dxf>
      <numFmt numFmtId="171" formatCode="&quot;₹&quot;\ #,##0.0"/>
    </dxf>
    <dxf>
      <numFmt numFmtId="165" formatCode="&quot;₹&quot;\ #,##0"/>
    </dxf>
    <dxf>
      <numFmt numFmtId="171" formatCode="&quot;₹&quot;\ #,##0.0"/>
    </dxf>
    <dxf>
      <numFmt numFmtId="170" formatCode="&quot;₹&quot;\ #,##0.00"/>
    </dxf>
    <dxf>
      <numFmt numFmtId="170" formatCode="&quot;₹&quot;\ #,##0.00"/>
    </dxf>
    <dxf>
      <numFmt numFmtId="0" formatCode="General"/>
    </dxf>
    <dxf>
      <numFmt numFmtId="0" formatCode="General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bottom style="thick">
          <color theme="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[RPG_Strategy_Intern_Dataset.xlsx]Sales Tracker!PivotTable9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Revenue in INR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Tracker'!$D$27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'Sales Tracker'!$C$28:$C$40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Tracker'!$D$28:$D$40</c:f>
              <c:numCache>
                <c:formatCode>"₹"\ #,##0</c:formatCode>
                <c:ptCount val="12"/>
                <c:pt idx="0">
                  <c:v>11523638</c:v>
                </c:pt>
                <c:pt idx="1">
                  <c:v>10009608</c:v>
                </c:pt>
                <c:pt idx="2">
                  <c:v>10425350</c:v>
                </c:pt>
                <c:pt idx="3">
                  <c:v>9958906</c:v>
                </c:pt>
                <c:pt idx="4">
                  <c:v>11306658</c:v>
                </c:pt>
                <c:pt idx="5">
                  <c:v>10896250</c:v>
                </c:pt>
                <c:pt idx="6">
                  <c:v>9618402</c:v>
                </c:pt>
                <c:pt idx="7">
                  <c:v>10361972</c:v>
                </c:pt>
                <c:pt idx="8">
                  <c:v>10595538</c:v>
                </c:pt>
                <c:pt idx="9">
                  <c:v>10984339</c:v>
                </c:pt>
                <c:pt idx="10">
                  <c:v>9989880</c:v>
                </c:pt>
                <c:pt idx="11">
                  <c:v>9455403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C-4A6D-9FD3-23F6EF74F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72784"/>
        <c:axId val="111773616"/>
      </c:lineChart>
      <c:catAx>
        <c:axId val="11177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73616"/>
        <c:crosses val="autoZero"/>
        <c:auto val="1"/>
        <c:lblAlgn val="ctr"/>
        <c:lblOffset val="100"/>
        <c:noMultiLvlLbl val="0"/>
      </c:catAx>
      <c:valAx>
        <c:axId val="1117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7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[RPG_Strategy_Intern_Dataset.xlsx]Sales Tracker!PivotTable6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Total Revenue in INR by Region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Tracker'!$D$5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'Sales Tracker'!$C$6:$C$10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'Sales Tracker'!$D$6:$D$10</c:f>
              <c:numCache>
                <c:formatCode>"₹"\ #,##0</c:formatCode>
                <c:ptCount val="4"/>
                <c:pt idx="0">
                  <c:v>34386026</c:v>
                </c:pt>
                <c:pt idx="1">
                  <c:v>32433680</c:v>
                </c:pt>
                <c:pt idx="2">
                  <c:v>31708927</c:v>
                </c:pt>
                <c:pt idx="3">
                  <c:v>26597311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0-4906-9194-79096F17C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9119600"/>
        <c:axId val="289117104"/>
      </c:barChart>
      <c:catAx>
        <c:axId val="2891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17104"/>
        <c:crosses val="autoZero"/>
        <c:auto val="1"/>
        <c:lblAlgn val="ctr"/>
        <c:lblOffset val="100"/>
        <c:noMultiLvlLbl val="0"/>
      </c:catAx>
      <c:valAx>
        <c:axId val="2891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1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599168</xdr:colOff>
      <xdr:row>41</xdr:row>
      <xdr:rowOff>9071</xdr:rowOff>
    </xdr:from>
    <xdr:to>
      <xdr:col>4</xdr:col>
      <xdr:colOff>0</xdr:colOff>
      <xdr:row>55</xdr:row>
      <xdr:rowOff>181428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89697-60D3-473B-8AB9-A1D8E376B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594180</xdr:colOff>
      <xdr:row>10</xdr:row>
      <xdr:rowOff>172357</xdr:rowOff>
    </xdr:from>
    <xdr:to>
      <xdr:col>4</xdr:col>
      <xdr:colOff>0</xdr:colOff>
      <xdr:row>24</xdr:row>
      <xdr:rowOff>172356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3EFCD8-1117-4315-A2AF-BDE08DBF4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Sawant" refreshedDate="46197.920687847225" createdVersion="7" refreshedVersion="7" minRefreshableVersion="3" recordCount="50" xr:uid="{934D20D9-22B7-4D6A-830B-32EFE4BFCA2E}">
  <cacheSource type="worksheet">
    <worksheetSource name="Table1"/>
  </cacheSource>
  <cacheFields count="10">
    <cacheField name="Product_ID" numFmtId="0">
      <sharedItems/>
    </cacheField>
    <cacheField name="Product_Name" numFmtId="0">
      <sharedItems/>
    </cacheField>
    <cacheField name="Category" numFmtId="0">
      <sharedItems/>
    </cacheField>
    <cacheField name="Launch_Date" numFmtId="164">
      <sharedItems containsSemiMixedTypes="0" containsNonDate="0" containsDate="1" containsString="0" minDate="2026-01-05T00:00:00" maxDate="2026-10-25T00:00:00"/>
    </cacheField>
    <cacheField name="Region" numFmtId="0">
      <sharedItems/>
    </cacheField>
    <cacheField name="Approval_Status" numFmtId="0">
      <sharedItems/>
    </cacheField>
    <cacheField name="Artwork_Status" numFmtId="0">
      <sharedItems/>
    </cacheField>
    <cacheField name="Launch_Status" numFmtId="0">
      <sharedItems/>
    </cacheField>
    <cacheField name="Launch_Blocker" numFmtId="0">
      <sharedItems count="2">
        <s v="Blocked"/>
        <s v="Ready"/>
      </sharedItems>
    </cacheField>
    <cacheField name="Blocker_Reason" numFmtId="0">
      <sharedItems count="4">
        <s v="Multiple Issues"/>
        <s v="Ready"/>
        <s v="Regulatory Delay"/>
        <s v="Artwork Del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Sawant" refreshedDate="46197.954239467595" createdVersion="7" refreshedVersion="7" minRefreshableVersion="3" recordCount="600" xr:uid="{4B431D99-0979-4868-902E-ED29702FEFC5}">
  <cacheSource type="worksheet">
    <worksheetSource name="Table2"/>
  </cacheSource>
  <cacheFields count="6"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 Name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duct_ID" numFmtId="0">
      <sharedItems count="50">
        <s v="RPGGEN-001"/>
        <s v="RPGGEN-002"/>
        <s v="RPGGEN-003"/>
        <s v="RPGGEN-004"/>
        <s v="RPGGEN-005"/>
        <s v="RPGGEN-006"/>
        <s v="RPGGEN-007"/>
        <s v="RPGGEN-008"/>
        <s v="RPGGEN-009"/>
        <s v="RPGGEN-010"/>
        <s v="RPGGEN-011"/>
        <s v="RPGGEN-012"/>
        <s v="RPGGEN-013"/>
        <s v="RPGGEN-014"/>
        <s v="RPGGEN-015"/>
        <s v="RPGGEN-016"/>
        <s v="RPGGEN-017"/>
        <s v="RPGGEN-018"/>
        <s v="RPGGEN-019"/>
        <s v="RPGGEN-020"/>
        <s v="RPGGEN-021"/>
        <s v="RPGGEN-022"/>
        <s v="RPGGEN-023"/>
        <s v="RPGGEN-024"/>
        <s v="RPGGEN-025"/>
        <s v="RPGGEN-026"/>
        <s v="RPGGEN-027"/>
        <s v="RPGGEN-028"/>
        <s v="RPGGEN-029"/>
        <s v="RPGGEN-030"/>
        <s v="RPGGEN-031"/>
        <s v="RPGGEN-032"/>
        <s v="RPGGEN-033"/>
        <s v="RPGGEN-034"/>
        <s v="RPGGEN-035"/>
        <s v="RPGGEN-036"/>
        <s v="RPGGEN-037"/>
        <s v="RPGGEN-038"/>
        <s v="RPGGEN-039"/>
        <s v="RPGGEN-040"/>
        <s v="RPGGEN-041"/>
        <s v="RPGGEN-042"/>
        <s v="RPGGEN-043"/>
        <s v="RPGGEN-044"/>
        <s v="RPGGEN-045"/>
        <s v="RPGGEN-046"/>
        <s v="RPGGEN-047"/>
        <s v="RPGGEN-048"/>
        <s v="RPGGEN-049"/>
        <s v="RPGGEN-050"/>
      </sharedItems>
    </cacheField>
    <cacheField name="Region" numFmtId="0">
      <sharedItems count="4">
        <s v="South"/>
        <s v="North"/>
        <s v="East"/>
        <s v="West"/>
      </sharedItems>
    </cacheField>
    <cacheField name="Units_Sold" numFmtId="0">
      <sharedItems containsSemiMixedTypes="0" containsString="0" containsNumber="1" containsInteger="1" minValue="109" maxValue="4998"/>
    </cacheField>
    <cacheField name="Revenue_INR" numFmtId="0">
      <sharedItems containsSemiMixedTypes="0" containsString="0" containsNumber="1" containsInteger="1" minValue="3650" maxValue="705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Sawant" refreshedDate="46198.416535648146" createdVersion="7" refreshedVersion="7" minRefreshableVersion="3" recordCount="50" xr:uid="{5882D3C1-147D-4430-893B-28F86ECD353A}">
  <cacheSource type="worksheet">
    <worksheetSource name="Table3"/>
  </cacheSource>
  <cacheFields count="8">
    <cacheField name="Product_ID" numFmtId="0">
      <sharedItems/>
    </cacheField>
    <cacheField name="Opening_Stock" numFmtId="0">
      <sharedItems containsSemiMixedTypes="0" containsString="0" containsNumber="1" containsInteger="1" minValue="2190" maxValue="9853"/>
    </cacheField>
    <cacheField name="Current_Stock" numFmtId="0">
      <sharedItems containsSemiMixedTypes="0" containsString="0" containsNumber="1" containsInteger="1" minValue="158" maxValue="4966"/>
    </cacheField>
    <cacheField name="Weekly_Demand" numFmtId="0">
      <sharedItems containsSemiMixedTypes="0" containsString="0" containsNumber="1" containsInteger="1" minValue="53" maxValue="500"/>
    </cacheField>
    <cacheField name="Lead_Time_Days" numFmtId="0">
      <sharedItems containsSemiMixedTypes="0" containsString="0" containsNumber="1" containsInteger="1" minValue="7" maxValue="30"/>
    </cacheField>
    <cacheField name="Safety_Stock" numFmtId="0">
      <sharedItems containsSemiMixedTypes="0" containsString="0" containsNumber="1" containsInteger="1" minValue="106" maxValue="1000"/>
    </cacheField>
    <cacheField name="Reorder_Point" numFmtId="0">
      <sharedItems containsSemiMixedTypes="0" containsString="0" containsNumber="1" containsInteger="1" minValue="265" maxValue="2868"/>
    </cacheField>
    <cacheField name="Reorder_Status" numFmtId="0">
      <sharedItems count="2">
        <s v="Reorder Required"/>
        <s v="Stock Suffici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Sawant" refreshedDate="46198.46205509259" createdVersion="7" refreshedVersion="7" minRefreshableVersion="3" recordCount="50" xr:uid="{DFA9E8F5-6AA4-44F8-9BD8-EFFE4A5F7310}">
  <cacheSource type="worksheet">
    <worksheetSource name="Table4"/>
  </cacheSource>
  <cacheFields count="6">
    <cacheField name="Product_ID" numFmtId="0">
      <sharedItems/>
    </cacheField>
    <cacheField name="Artwork_Submission" numFmtId="0">
      <sharedItems/>
    </cacheField>
    <cacheField name="Review_Status" numFmtId="0">
      <sharedItems/>
    </cacheField>
    <cacheField name="Regulatory_Check" numFmtId="0">
      <sharedItems/>
    </cacheField>
    <cacheField name="Final_Signoff" numFmtId="0">
      <sharedItems/>
    </cacheField>
    <cacheField name="Stage" numFmtId="0">
      <sharedItems count="6">
        <s v="Complete"/>
        <s v="Under Review"/>
        <s v="Rework Required"/>
        <s v="Submission Pending"/>
        <s v="Awaiting Final Sign-off"/>
        <s v="Regulatory Revi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RPGGEN-001"/>
    <s v="Generic Product 1"/>
    <s v="Diabetes"/>
    <d v="2026-09-18T00:00:00"/>
    <s v="North"/>
    <s v="Pending"/>
    <s v="Draft"/>
    <s v="Planned"/>
    <x v="0"/>
    <x v="0"/>
  </r>
  <r>
    <s v="RPGGEN-014"/>
    <s v="Generic Product 14"/>
    <s v="Cardio"/>
    <d v="2026-01-05T00:00:00"/>
    <s v="West"/>
    <s v="Under Review"/>
    <s v="Draft"/>
    <s v="Planned"/>
    <x v="0"/>
    <x v="0"/>
  </r>
  <r>
    <s v="RPGGEN-003"/>
    <s v="Generic Product 3"/>
    <s v="Diabetes"/>
    <d v="2026-08-19T00:00:00"/>
    <s v="West"/>
    <s v="Approved"/>
    <s v="Approved"/>
    <s v="Launched"/>
    <x v="1"/>
    <x v="1"/>
  </r>
  <r>
    <s v="RPGGEN-007"/>
    <s v="Generic Product 7"/>
    <s v="Gastro"/>
    <d v="2026-01-16T00:00:00"/>
    <s v="East"/>
    <s v="Under Review"/>
    <s v="Approved"/>
    <s v="Planned"/>
    <x v="0"/>
    <x v="2"/>
  </r>
  <r>
    <s v="RPGGEN-029"/>
    <s v="Generic Product 29"/>
    <s v="Diabetes"/>
    <d v="2026-01-16T00:00:00"/>
    <s v="West"/>
    <s v="Under Review"/>
    <s v="Review"/>
    <s v="In Progress"/>
    <x v="0"/>
    <x v="0"/>
  </r>
  <r>
    <s v="RPGGEN-006"/>
    <s v="Generic Product 6"/>
    <s v="Oncology"/>
    <d v="2026-08-10T00:00:00"/>
    <s v="West"/>
    <s v="Approved"/>
    <s v="Approved"/>
    <s v="Launched"/>
    <x v="1"/>
    <x v="1"/>
  </r>
  <r>
    <s v="RPGGEN-046"/>
    <s v="Generic Product 46"/>
    <s v="Diabetes"/>
    <d v="2026-02-01T00:00:00"/>
    <s v="South"/>
    <s v="Pending"/>
    <s v="Review"/>
    <s v="In Progress"/>
    <x v="0"/>
    <x v="0"/>
  </r>
  <r>
    <s v="RPGGEN-036"/>
    <s v="Generic Product 36"/>
    <s v="Gastro"/>
    <d v="2026-02-02T00:00:00"/>
    <s v="South"/>
    <s v="Under Review"/>
    <s v="Draft"/>
    <s v="Planned"/>
    <x v="0"/>
    <x v="0"/>
  </r>
  <r>
    <s v="RPGGEN-048"/>
    <s v="Generic Product 48"/>
    <s v="Diabetes"/>
    <d v="2026-02-12T00:00:00"/>
    <s v="North"/>
    <s v="Under Review"/>
    <s v="Approved"/>
    <s v="In Progress"/>
    <x v="0"/>
    <x v="2"/>
  </r>
  <r>
    <s v="RPGGEN-050"/>
    <s v="Generic Product 50"/>
    <s v="Gastro"/>
    <d v="2026-02-14T00:00:00"/>
    <s v="East"/>
    <s v="Pending"/>
    <s v="Review"/>
    <s v="In Progress"/>
    <x v="0"/>
    <x v="0"/>
  </r>
  <r>
    <s v="RPGGEN-009"/>
    <s v="Generic Product 9"/>
    <s v="Oncology"/>
    <d v="2026-02-15T00:00:00"/>
    <s v="West"/>
    <s v="Pending"/>
    <s v="Approved"/>
    <s v="In Progress"/>
    <x v="0"/>
    <x v="2"/>
  </r>
  <r>
    <s v="RPGGEN-012"/>
    <s v="Generic Product 12"/>
    <s v="Oncology"/>
    <d v="2026-10-24T00:00:00"/>
    <s v="East"/>
    <s v="Under Review"/>
    <s v="Draft"/>
    <s v="Planned"/>
    <x v="0"/>
    <x v="0"/>
  </r>
  <r>
    <s v="RPGGEN-013"/>
    <s v="Generic Product 13"/>
    <s v="Oncology"/>
    <d v="2026-09-19T00:00:00"/>
    <s v="North"/>
    <s v="Approved"/>
    <s v="Draft"/>
    <s v="In Progress"/>
    <x v="0"/>
    <x v="3"/>
  </r>
  <r>
    <s v="RPGGEN-008"/>
    <s v="Generic Product 8"/>
    <s v="Respiratory"/>
    <d v="2026-02-20T00:00:00"/>
    <s v="North"/>
    <s v="Approved"/>
    <s v="Draft"/>
    <s v="Planned"/>
    <x v="0"/>
    <x v="3"/>
  </r>
  <r>
    <s v="RPGGEN-019"/>
    <s v="Generic Product 19"/>
    <s v="Respiratory"/>
    <d v="2026-02-21T00:00:00"/>
    <s v="West"/>
    <s v="Approved"/>
    <s v="Draft"/>
    <s v="Planned"/>
    <x v="0"/>
    <x v="3"/>
  </r>
  <r>
    <s v="RPGGEN-017"/>
    <s v="Generic Product 17"/>
    <s v="Gastro"/>
    <d v="2026-02-25T00:00:00"/>
    <s v="West"/>
    <s v="Pending"/>
    <s v="Review"/>
    <s v="In Progress"/>
    <x v="0"/>
    <x v="0"/>
  </r>
  <r>
    <s v="RPGGEN-015"/>
    <s v="Generic Product 15"/>
    <s v="Oncology"/>
    <d v="2026-03-05T00:00:00"/>
    <s v="East"/>
    <s v="Under Review"/>
    <s v="Draft"/>
    <s v="In Progress"/>
    <x v="0"/>
    <x v="0"/>
  </r>
  <r>
    <s v="RPGGEN-022"/>
    <s v="Generic Product 22"/>
    <s v="Diabetes"/>
    <d v="2026-03-16T00:00:00"/>
    <s v="East"/>
    <s v="Pending"/>
    <s v="Draft"/>
    <s v="In Progress"/>
    <x v="0"/>
    <x v="0"/>
  </r>
  <r>
    <s v="RPGGEN-035"/>
    <s v="Generic Product 35"/>
    <s v="Respiratory"/>
    <d v="2026-03-22T00:00:00"/>
    <s v="West"/>
    <s v="Approved"/>
    <s v="Review"/>
    <s v="Planned"/>
    <x v="0"/>
    <x v="3"/>
  </r>
  <r>
    <s v="RPGGEN-002"/>
    <s v="Generic Product 2"/>
    <s v="Diabetes"/>
    <d v="2026-07-01T00:00:00"/>
    <s v="East"/>
    <s v="Pending"/>
    <s v="Review"/>
    <s v="Planned"/>
    <x v="0"/>
    <x v="0"/>
  </r>
  <r>
    <s v="RPGGEN-027"/>
    <s v="Generic Product 27"/>
    <s v="Oncology"/>
    <d v="2026-07-04T00:00:00"/>
    <s v="South"/>
    <s v="Approved"/>
    <s v="Approved"/>
    <s v="Launched"/>
    <x v="1"/>
    <x v="1"/>
  </r>
  <r>
    <s v="RPGGEN-025"/>
    <s v="Generic Product 25"/>
    <s v="Gastro"/>
    <d v="2026-04-12T00:00:00"/>
    <s v="East"/>
    <s v="Under Review"/>
    <s v="Approved"/>
    <s v="Planned"/>
    <x v="0"/>
    <x v="2"/>
  </r>
  <r>
    <s v="RPGGEN-016"/>
    <s v="Generic Product 16"/>
    <s v="Gastro"/>
    <d v="2026-04-17T00:00:00"/>
    <s v="North"/>
    <s v="Approved"/>
    <s v="Approved"/>
    <s v="Launched"/>
    <x v="1"/>
    <x v="1"/>
  </r>
  <r>
    <s v="RPGGEN-047"/>
    <s v="Generic Product 47"/>
    <s v="Oncology"/>
    <d v="2026-04-18T00:00:00"/>
    <s v="North"/>
    <s v="Under Review"/>
    <s v="Approved"/>
    <s v="In Progress"/>
    <x v="0"/>
    <x v="2"/>
  </r>
  <r>
    <s v="RPGGEN-030"/>
    <s v="Generic Product 30"/>
    <s v="Oncology"/>
    <d v="2026-04-30T00:00:00"/>
    <s v="North"/>
    <s v="Pending"/>
    <s v="Approved"/>
    <s v="Planned"/>
    <x v="0"/>
    <x v="2"/>
  </r>
  <r>
    <s v="RPGGEN-026"/>
    <s v="Generic Product 26"/>
    <s v="Gastro"/>
    <d v="2026-08-18T00:00:00"/>
    <s v="East"/>
    <s v="Under Review"/>
    <s v="Approved"/>
    <s v="Planned"/>
    <x v="0"/>
    <x v="2"/>
  </r>
  <r>
    <s v="RPGGEN-010"/>
    <s v="Generic Product 10"/>
    <s v="Respiratory"/>
    <d v="2026-07-05T00:00:00"/>
    <s v="South"/>
    <s v="Under Review"/>
    <s v="Draft"/>
    <s v="Planned"/>
    <x v="0"/>
    <x v="0"/>
  </r>
  <r>
    <s v="RPGGEN-028"/>
    <s v="Generic Product 28"/>
    <s v="Diabetes"/>
    <d v="2026-08-25T00:00:00"/>
    <s v="West"/>
    <s v="Under Review"/>
    <s v="Draft"/>
    <s v="Launched"/>
    <x v="0"/>
    <x v="0"/>
  </r>
  <r>
    <s v="RPGGEN-018"/>
    <s v="Generic Product 18"/>
    <s v="Respiratory"/>
    <d v="2026-05-02T00:00:00"/>
    <s v="West"/>
    <s v="Pending"/>
    <s v="Review"/>
    <s v="Planned"/>
    <x v="0"/>
    <x v="0"/>
  </r>
  <r>
    <s v="RPGGEN-041"/>
    <s v="Generic Product 41"/>
    <s v="Diabetes"/>
    <d v="2026-05-02T00:00:00"/>
    <s v="North"/>
    <s v="Pending"/>
    <s v="Approved"/>
    <s v="Launched"/>
    <x v="0"/>
    <x v="2"/>
  </r>
  <r>
    <s v="RPGGEN-031"/>
    <s v="Generic Product 31"/>
    <s v="Oncology"/>
    <d v="2026-08-19T00:00:00"/>
    <s v="East"/>
    <s v="Pending"/>
    <s v="Draft"/>
    <s v="Launched"/>
    <x v="0"/>
    <x v="0"/>
  </r>
  <r>
    <s v="RPGGEN-032"/>
    <s v="Generic Product 32"/>
    <s v="Gastro"/>
    <d v="2026-08-03T00:00:00"/>
    <s v="West"/>
    <s v="Under Review"/>
    <s v="Draft"/>
    <s v="Planned"/>
    <x v="0"/>
    <x v="0"/>
  </r>
  <r>
    <s v="RPGGEN-033"/>
    <s v="Generic Product 33"/>
    <s v="Respiratory"/>
    <d v="2026-09-29T00:00:00"/>
    <s v="North"/>
    <s v="Approved"/>
    <s v="Draft"/>
    <s v="Planned"/>
    <x v="0"/>
    <x v="3"/>
  </r>
  <r>
    <s v="RPGGEN-005"/>
    <s v="Generic Product 5"/>
    <s v="Respiratory"/>
    <d v="2026-05-09T00:00:00"/>
    <s v="South"/>
    <s v="Under Review"/>
    <s v="Approved"/>
    <s v="Planned"/>
    <x v="0"/>
    <x v="2"/>
  </r>
  <r>
    <s v="RPGGEN-023"/>
    <s v="Generic Product 23"/>
    <s v="Oncology"/>
    <d v="2026-05-15T00:00:00"/>
    <s v="North"/>
    <s v="Under Review"/>
    <s v="Approved"/>
    <s v="Launched"/>
    <x v="0"/>
    <x v="2"/>
  </r>
  <r>
    <s v="RPGGEN-042"/>
    <s v="Generic Product 42"/>
    <s v="Diabetes"/>
    <d v="2026-05-15T00:00:00"/>
    <s v="West"/>
    <s v="Approved"/>
    <s v="Review"/>
    <s v="In Progress"/>
    <x v="0"/>
    <x v="3"/>
  </r>
  <r>
    <s v="RPGGEN-004"/>
    <s v="Generic Product 4"/>
    <s v="Cardio"/>
    <d v="2026-07-10T00:00:00"/>
    <s v="East"/>
    <s v="Pending"/>
    <s v="Draft"/>
    <s v="In Progress"/>
    <x v="0"/>
    <x v="0"/>
  </r>
  <r>
    <s v="RPGGEN-011"/>
    <s v="Generic Product 11"/>
    <s v="Diabetes"/>
    <d v="2026-07-14T00:00:00"/>
    <s v="South"/>
    <s v="Pending"/>
    <s v="Approved"/>
    <s v="Launched"/>
    <x v="0"/>
    <x v="2"/>
  </r>
  <r>
    <s v="RPGGEN-039"/>
    <s v="Generic Product 39"/>
    <s v="Oncology"/>
    <d v="2026-09-27T00:00:00"/>
    <s v="North"/>
    <s v="Pending"/>
    <s v="Approved"/>
    <s v="Launched"/>
    <x v="0"/>
    <x v="2"/>
  </r>
  <r>
    <s v="RPGGEN-040"/>
    <s v="Generic Product 40"/>
    <s v="Gastro"/>
    <d v="2026-10-11T00:00:00"/>
    <s v="East"/>
    <s v="Under Review"/>
    <s v="Approved"/>
    <s v="Launched"/>
    <x v="0"/>
    <x v="2"/>
  </r>
  <r>
    <s v="RPGGEN-024"/>
    <s v="Generic Product 24"/>
    <s v="Cardio"/>
    <d v="2026-05-28T00:00:00"/>
    <s v="West"/>
    <s v="Under Review"/>
    <s v="Review"/>
    <s v="In Progress"/>
    <x v="0"/>
    <x v="0"/>
  </r>
  <r>
    <s v="RPGGEN-034"/>
    <s v="Generic Product 34"/>
    <s v="Oncology"/>
    <d v="2026-05-30T00:00:00"/>
    <s v="North"/>
    <s v="Pending"/>
    <s v="Approved"/>
    <s v="In Progress"/>
    <x v="0"/>
    <x v="2"/>
  </r>
  <r>
    <s v="RPGGEN-043"/>
    <s v="Generic Product 43"/>
    <s v="Diabetes"/>
    <d v="2026-08-13T00:00:00"/>
    <s v="West"/>
    <s v="Under Review"/>
    <s v="Review"/>
    <s v="Launched"/>
    <x v="0"/>
    <x v="0"/>
  </r>
  <r>
    <s v="RPGGEN-044"/>
    <s v="Generic Product 44"/>
    <s v="Gastro"/>
    <d v="2026-09-04T00:00:00"/>
    <s v="East"/>
    <s v="Approved"/>
    <s v="Review"/>
    <s v="In Progress"/>
    <x v="0"/>
    <x v="3"/>
  </r>
  <r>
    <s v="RPGGEN-045"/>
    <s v="Generic Product 45"/>
    <s v="Diabetes"/>
    <d v="2026-09-19T00:00:00"/>
    <s v="West"/>
    <s v="Approved"/>
    <s v="Draft"/>
    <s v="In Progress"/>
    <x v="0"/>
    <x v="3"/>
  </r>
  <r>
    <s v="RPGGEN-021"/>
    <s v="Generic Product 21"/>
    <s v="Cardio"/>
    <d v="2026-06-08T00:00:00"/>
    <s v="North"/>
    <s v="Under Review"/>
    <s v="Review"/>
    <s v="Launched"/>
    <x v="0"/>
    <x v="0"/>
  </r>
  <r>
    <s v="RPGGEN-037"/>
    <s v="Generic Product 37"/>
    <s v="Gastro"/>
    <d v="2026-06-15T00:00:00"/>
    <s v="East"/>
    <s v="Approved"/>
    <s v="Approved"/>
    <s v="In Progress"/>
    <x v="1"/>
    <x v="1"/>
  </r>
  <r>
    <s v="RPGGEN-020"/>
    <s v="Generic Product 20"/>
    <s v="Diabetes"/>
    <d v="2026-06-20T00:00:00"/>
    <s v="South"/>
    <s v="Pending"/>
    <s v="Review"/>
    <s v="In Progress"/>
    <x v="0"/>
    <x v="0"/>
  </r>
  <r>
    <s v="RPGGEN-049"/>
    <s v="Generic Product 49"/>
    <s v="Cardio"/>
    <d v="2026-10-01T00:00:00"/>
    <s v="South"/>
    <s v="Under Review"/>
    <s v="Review"/>
    <s v="In Progress"/>
    <x v="0"/>
    <x v="0"/>
  </r>
  <r>
    <s v="RPGGEN-038"/>
    <s v="Generic Product 38"/>
    <s v="Diabetes"/>
    <d v="2026-06-26T00:00:00"/>
    <s v="South"/>
    <s v="Pending"/>
    <s v="Approved"/>
    <s v="Planned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x v="0"/>
    <x v="0"/>
    <n v="2269"/>
    <n v="272280"/>
  </r>
  <r>
    <x v="0"/>
    <x v="0"/>
    <x v="1"/>
    <x v="1"/>
    <n v="4140"/>
    <n v="107640"/>
  </r>
  <r>
    <x v="0"/>
    <x v="0"/>
    <x v="2"/>
    <x v="1"/>
    <n v="1402"/>
    <n v="162632"/>
  </r>
  <r>
    <x v="0"/>
    <x v="0"/>
    <x v="3"/>
    <x v="1"/>
    <n v="4455"/>
    <n v="182655"/>
  </r>
  <r>
    <x v="0"/>
    <x v="0"/>
    <x v="4"/>
    <x v="0"/>
    <n v="4819"/>
    <n v="395158"/>
  </r>
  <r>
    <x v="0"/>
    <x v="0"/>
    <x v="5"/>
    <x v="2"/>
    <n v="1115"/>
    <n v="134915"/>
  </r>
  <r>
    <x v="0"/>
    <x v="0"/>
    <x v="6"/>
    <x v="0"/>
    <n v="1832"/>
    <n v="214344"/>
  </r>
  <r>
    <x v="0"/>
    <x v="0"/>
    <x v="7"/>
    <x v="1"/>
    <n v="683"/>
    <n v="17758"/>
  </r>
  <r>
    <x v="0"/>
    <x v="0"/>
    <x v="8"/>
    <x v="1"/>
    <n v="2459"/>
    <n v="228687"/>
  </r>
  <r>
    <x v="0"/>
    <x v="0"/>
    <x v="9"/>
    <x v="2"/>
    <n v="3152"/>
    <n v="438128"/>
  </r>
  <r>
    <x v="0"/>
    <x v="0"/>
    <x v="10"/>
    <x v="0"/>
    <n v="4552"/>
    <n v="559896"/>
  </r>
  <r>
    <x v="0"/>
    <x v="0"/>
    <x v="11"/>
    <x v="0"/>
    <n v="1534"/>
    <n v="179478"/>
  </r>
  <r>
    <x v="0"/>
    <x v="0"/>
    <x v="12"/>
    <x v="0"/>
    <n v="622"/>
    <n v="15550"/>
  </r>
  <r>
    <x v="0"/>
    <x v="0"/>
    <x v="13"/>
    <x v="0"/>
    <n v="3651"/>
    <n v="83973"/>
  </r>
  <r>
    <x v="0"/>
    <x v="0"/>
    <x v="14"/>
    <x v="0"/>
    <n v="4030"/>
    <n v="193440"/>
  </r>
  <r>
    <x v="0"/>
    <x v="0"/>
    <x v="15"/>
    <x v="2"/>
    <n v="3951"/>
    <n v="79020"/>
  </r>
  <r>
    <x v="0"/>
    <x v="0"/>
    <x v="16"/>
    <x v="3"/>
    <n v="4723"/>
    <n v="613990"/>
  </r>
  <r>
    <x v="0"/>
    <x v="0"/>
    <x v="17"/>
    <x v="2"/>
    <n v="2025"/>
    <n v="83025"/>
  </r>
  <r>
    <x v="0"/>
    <x v="0"/>
    <x v="18"/>
    <x v="1"/>
    <n v="4772"/>
    <n v="152704"/>
  </r>
  <r>
    <x v="0"/>
    <x v="0"/>
    <x v="19"/>
    <x v="0"/>
    <n v="4653"/>
    <n v="660726"/>
  </r>
  <r>
    <x v="0"/>
    <x v="0"/>
    <x v="20"/>
    <x v="0"/>
    <n v="2705"/>
    <n v="254270"/>
  </r>
  <r>
    <x v="0"/>
    <x v="0"/>
    <x v="21"/>
    <x v="1"/>
    <n v="1733"/>
    <n v="164635"/>
  </r>
  <r>
    <x v="0"/>
    <x v="0"/>
    <x v="22"/>
    <x v="0"/>
    <n v="2021"/>
    <n v="175827"/>
  </r>
  <r>
    <x v="0"/>
    <x v="0"/>
    <x v="23"/>
    <x v="2"/>
    <n v="3861"/>
    <n v="401544"/>
  </r>
  <r>
    <x v="0"/>
    <x v="0"/>
    <x v="24"/>
    <x v="3"/>
    <n v="2633"/>
    <n v="350189"/>
  </r>
  <r>
    <x v="0"/>
    <x v="0"/>
    <x v="25"/>
    <x v="1"/>
    <n v="3752"/>
    <n v="172592"/>
  </r>
  <r>
    <x v="0"/>
    <x v="0"/>
    <x v="26"/>
    <x v="3"/>
    <n v="557"/>
    <n v="49016"/>
  </r>
  <r>
    <x v="0"/>
    <x v="0"/>
    <x v="27"/>
    <x v="1"/>
    <n v="1427"/>
    <n v="69923"/>
  </r>
  <r>
    <x v="0"/>
    <x v="0"/>
    <x v="28"/>
    <x v="0"/>
    <n v="2928"/>
    <n v="143472"/>
  </r>
  <r>
    <x v="0"/>
    <x v="0"/>
    <x v="29"/>
    <x v="1"/>
    <n v="1722"/>
    <n v="48216"/>
  </r>
  <r>
    <x v="0"/>
    <x v="0"/>
    <x v="30"/>
    <x v="0"/>
    <n v="4937"/>
    <n v="705991"/>
  </r>
  <r>
    <x v="0"/>
    <x v="0"/>
    <x v="31"/>
    <x v="3"/>
    <n v="3803"/>
    <n v="551435"/>
  </r>
  <r>
    <x v="0"/>
    <x v="0"/>
    <x v="32"/>
    <x v="1"/>
    <n v="3575"/>
    <n v="207350"/>
  </r>
  <r>
    <x v="0"/>
    <x v="0"/>
    <x v="33"/>
    <x v="3"/>
    <n v="3581"/>
    <n v="379586"/>
  </r>
  <r>
    <x v="0"/>
    <x v="0"/>
    <x v="34"/>
    <x v="2"/>
    <n v="2480"/>
    <n v="116560"/>
  </r>
  <r>
    <x v="0"/>
    <x v="0"/>
    <x v="35"/>
    <x v="1"/>
    <n v="2785"/>
    <n v="217230"/>
  </r>
  <r>
    <x v="0"/>
    <x v="0"/>
    <x v="36"/>
    <x v="2"/>
    <n v="364"/>
    <n v="20384"/>
  </r>
  <r>
    <x v="0"/>
    <x v="0"/>
    <x v="37"/>
    <x v="3"/>
    <n v="3426"/>
    <n v="400842"/>
  </r>
  <r>
    <x v="0"/>
    <x v="0"/>
    <x v="38"/>
    <x v="1"/>
    <n v="4322"/>
    <n v="142626"/>
  </r>
  <r>
    <x v="0"/>
    <x v="0"/>
    <x v="39"/>
    <x v="3"/>
    <n v="930"/>
    <n v="53940"/>
  </r>
  <r>
    <x v="0"/>
    <x v="0"/>
    <x v="40"/>
    <x v="3"/>
    <n v="881"/>
    <n v="34359"/>
  </r>
  <r>
    <x v="0"/>
    <x v="0"/>
    <x v="41"/>
    <x v="2"/>
    <n v="1052"/>
    <n v="35768"/>
  </r>
  <r>
    <x v="0"/>
    <x v="0"/>
    <x v="42"/>
    <x v="2"/>
    <n v="3535"/>
    <n v="102515"/>
  </r>
  <r>
    <x v="0"/>
    <x v="0"/>
    <x v="43"/>
    <x v="0"/>
    <n v="1347"/>
    <n v="40410"/>
  </r>
  <r>
    <x v="0"/>
    <x v="0"/>
    <x v="44"/>
    <x v="0"/>
    <n v="4402"/>
    <n v="237708"/>
  </r>
  <r>
    <x v="0"/>
    <x v="0"/>
    <x v="45"/>
    <x v="0"/>
    <n v="4276"/>
    <n v="111176"/>
  </r>
  <r>
    <x v="0"/>
    <x v="0"/>
    <x v="46"/>
    <x v="1"/>
    <n v="3001"/>
    <n v="219073"/>
  </r>
  <r>
    <x v="0"/>
    <x v="0"/>
    <x v="47"/>
    <x v="1"/>
    <n v="3028"/>
    <n v="333080"/>
  </r>
  <r>
    <x v="0"/>
    <x v="0"/>
    <x v="48"/>
    <x v="2"/>
    <n v="4512"/>
    <n v="658752"/>
  </r>
  <r>
    <x v="0"/>
    <x v="0"/>
    <x v="49"/>
    <x v="1"/>
    <n v="3390"/>
    <n v="349170"/>
  </r>
  <r>
    <x v="1"/>
    <x v="1"/>
    <x v="0"/>
    <x v="2"/>
    <n v="3155"/>
    <n v="448010"/>
  </r>
  <r>
    <x v="1"/>
    <x v="1"/>
    <x v="1"/>
    <x v="2"/>
    <n v="806"/>
    <n v="118482"/>
  </r>
  <r>
    <x v="1"/>
    <x v="1"/>
    <x v="2"/>
    <x v="0"/>
    <n v="3379"/>
    <n v="358174"/>
  </r>
  <r>
    <x v="1"/>
    <x v="1"/>
    <x v="3"/>
    <x v="1"/>
    <n v="1308"/>
    <n v="156960"/>
  </r>
  <r>
    <x v="1"/>
    <x v="1"/>
    <x v="4"/>
    <x v="2"/>
    <n v="1619"/>
    <n v="121425"/>
  </r>
  <r>
    <x v="1"/>
    <x v="1"/>
    <x v="5"/>
    <x v="0"/>
    <n v="3015"/>
    <n v="75375"/>
  </r>
  <r>
    <x v="1"/>
    <x v="1"/>
    <x v="6"/>
    <x v="0"/>
    <n v="2512"/>
    <n v="221056"/>
  </r>
  <r>
    <x v="1"/>
    <x v="1"/>
    <x v="7"/>
    <x v="0"/>
    <n v="1933"/>
    <n v="288017"/>
  </r>
  <r>
    <x v="1"/>
    <x v="1"/>
    <x v="8"/>
    <x v="1"/>
    <n v="404"/>
    <n v="39996"/>
  </r>
  <r>
    <x v="1"/>
    <x v="1"/>
    <x v="9"/>
    <x v="3"/>
    <n v="2918"/>
    <n v="224686"/>
  </r>
  <r>
    <x v="1"/>
    <x v="1"/>
    <x v="10"/>
    <x v="3"/>
    <n v="1845"/>
    <n v="225090"/>
  </r>
  <r>
    <x v="1"/>
    <x v="1"/>
    <x v="11"/>
    <x v="0"/>
    <n v="727"/>
    <n v="52344"/>
  </r>
  <r>
    <x v="1"/>
    <x v="1"/>
    <x v="12"/>
    <x v="3"/>
    <n v="1276"/>
    <n v="125048"/>
  </r>
  <r>
    <x v="1"/>
    <x v="1"/>
    <x v="13"/>
    <x v="2"/>
    <n v="2893"/>
    <n v="219868"/>
  </r>
  <r>
    <x v="1"/>
    <x v="1"/>
    <x v="14"/>
    <x v="2"/>
    <n v="3315"/>
    <n v="497250"/>
  </r>
  <r>
    <x v="1"/>
    <x v="1"/>
    <x v="15"/>
    <x v="1"/>
    <n v="3152"/>
    <n v="214336"/>
  </r>
  <r>
    <x v="1"/>
    <x v="1"/>
    <x v="16"/>
    <x v="0"/>
    <n v="907"/>
    <n v="34466"/>
  </r>
  <r>
    <x v="1"/>
    <x v="1"/>
    <x v="17"/>
    <x v="1"/>
    <n v="315"/>
    <n v="17640"/>
  </r>
  <r>
    <x v="1"/>
    <x v="1"/>
    <x v="18"/>
    <x v="0"/>
    <n v="2854"/>
    <n v="74204"/>
  </r>
  <r>
    <x v="1"/>
    <x v="1"/>
    <x v="19"/>
    <x v="3"/>
    <n v="1883"/>
    <n v="50841"/>
  </r>
  <r>
    <x v="1"/>
    <x v="1"/>
    <x v="20"/>
    <x v="2"/>
    <n v="2165"/>
    <n v="181860"/>
  </r>
  <r>
    <x v="1"/>
    <x v="1"/>
    <x v="21"/>
    <x v="2"/>
    <n v="4140"/>
    <n v="169740"/>
  </r>
  <r>
    <x v="1"/>
    <x v="1"/>
    <x v="22"/>
    <x v="0"/>
    <n v="1069"/>
    <n v="145384"/>
  </r>
  <r>
    <x v="1"/>
    <x v="1"/>
    <x v="23"/>
    <x v="2"/>
    <n v="4561"/>
    <n v="656784"/>
  </r>
  <r>
    <x v="1"/>
    <x v="1"/>
    <x v="24"/>
    <x v="3"/>
    <n v="3148"/>
    <n v="97588"/>
  </r>
  <r>
    <x v="1"/>
    <x v="1"/>
    <x v="25"/>
    <x v="2"/>
    <n v="4450"/>
    <n v="574050"/>
  </r>
  <r>
    <x v="1"/>
    <x v="1"/>
    <x v="26"/>
    <x v="3"/>
    <n v="4856"/>
    <n v="437040"/>
  </r>
  <r>
    <x v="1"/>
    <x v="1"/>
    <x v="27"/>
    <x v="2"/>
    <n v="2992"/>
    <n v="203456"/>
  </r>
  <r>
    <x v="1"/>
    <x v="1"/>
    <x v="28"/>
    <x v="0"/>
    <n v="111"/>
    <n v="4773"/>
  </r>
  <r>
    <x v="1"/>
    <x v="1"/>
    <x v="29"/>
    <x v="2"/>
    <n v="2779"/>
    <n v="283458"/>
  </r>
  <r>
    <x v="1"/>
    <x v="1"/>
    <x v="30"/>
    <x v="3"/>
    <n v="1899"/>
    <n v="212688"/>
  </r>
  <r>
    <x v="1"/>
    <x v="1"/>
    <x v="31"/>
    <x v="1"/>
    <n v="552"/>
    <n v="12696"/>
  </r>
  <r>
    <x v="1"/>
    <x v="1"/>
    <x v="32"/>
    <x v="2"/>
    <n v="626"/>
    <n v="31300"/>
  </r>
  <r>
    <x v="1"/>
    <x v="1"/>
    <x v="33"/>
    <x v="3"/>
    <n v="3663"/>
    <n v="274725"/>
  </r>
  <r>
    <x v="1"/>
    <x v="1"/>
    <x v="34"/>
    <x v="1"/>
    <n v="915"/>
    <n v="97905"/>
  </r>
  <r>
    <x v="1"/>
    <x v="1"/>
    <x v="35"/>
    <x v="2"/>
    <n v="2843"/>
    <n v="82447"/>
  </r>
  <r>
    <x v="1"/>
    <x v="1"/>
    <x v="36"/>
    <x v="1"/>
    <n v="705"/>
    <n v="57810"/>
  </r>
  <r>
    <x v="1"/>
    <x v="1"/>
    <x v="37"/>
    <x v="0"/>
    <n v="2570"/>
    <n v="221020"/>
  </r>
  <r>
    <x v="1"/>
    <x v="1"/>
    <x v="38"/>
    <x v="1"/>
    <n v="2800"/>
    <n v="344400"/>
  </r>
  <r>
    <x v="1"/>
    <x v="1"/>
    <x v="39"/>
    <x v="1"/>
    <n v="4657"/>
    <n v="512270"/>
  </r>
  <r>
    <x v="1"/>
    <x v="1"/>
    <x v="40"/>
    <x v="2"/>
    <n v="2357"/>
    <n v="54211"/>
  </r>
  <r>
    <x v="1"/>
    <x v="1"/>
    <x v="41"/>
    <x v="1"/>
    <n v="1716"/>
    <n v="209352"/>
  </r>
  <r>
    <x v="1"/>
    <x v="1"/>
    <x v="42"/>
    <x v="1"/>
    <n v="4123"/>
    <n v="490637"/>
  </r>
  <r>
    <x v="1"/>
    <x v="1"/>
    <x v="43"/>
    <x v="2"/>
    <n v="405"/>
    <n v="49410"/>
  </r>
  <r>
    <x v="1"/>
    <x v="1"/>
    <x v="44"/>
    <x v="0"/>
    <n v="455"/>
    <n v="19110"/>
  </r>
  <r>
    <x v="1"/>
    <x v="1"/>
    <x v="45"/>
    <x v="2"/>
    <n v="1078"/>
    <n v="122892"/>
  </r>
  <r>
    <x v="1"/>
    <x v="1"/>
    <x v="46"/>
    <x v="0"/>
    <n v="1779"/>
    <n v="247281"/>
  </r>
  <r>
    <x v="1"/>
    <x v="1"/>
    <x v="47"/>
    <x v="2"/>
    <n v="4809"/>
    <n v="259686"/>
  </r>
  <r>
    <x v="1"/>
    <x v="1"/>
    <x v="48"/>
    <x v="3"/>
    <n v="2276"/>
    <n v="266292"/>
  </r>
  <r>
    <x v="1"/>
    <x v="1"/>
    <x v="49"/>
    <x v="2"/>
    <n v="3075"/>
    <n v="126075"/>
  </r>
  <r>
    <x v="2"/>
    <x v="2"/>
    <x v="0"/>
    <x v="2"/>
    <n v="1744"/>
    <n v="80224"/>
  </r>
  <r>
    <x v="2"/>
    <x v="2"/>
    <x v="1"/>
    <x v="0"/>
    <n v="3263"/>
    <n v="277355"/>
  </r>
  <r>
    <x v="2"/>
    <x v="2"/>
    <x v="2"/>
    <x v="3"/>
    <n v="2634"/>
    <n v="139602"/>
  </r>
  <r>
    <x v="2"/>
    <x v="2"/>
    <x v="3"/>
    <x v="1"/>
    <n v="2352"/>
    <n v="242256"/>
  </r>
  <r>
    <x v="2"/>
    <x v="2"/>
    <x v="4"/>
    <x v="0"/>
    <n v="555"/>
    <n v="12210"/>
  </r>
  <r>
    <x v="2"/>
    <x v="2"/>
    <x v="5"/>
    <x v="0"/>
    <n v="4256"/>
    <n v="489440"/>
  </r>
  <r>
    <x v="2"/>
    <x v="2"/>
    <x v="6"/>
    <x v="3"/>
    <n v="4443"/>
    <n v="510945"/>
  </r>
  <r>
    <x v="2"/>
    <x v="2"/>
    <x v="7"/>
    <x v="3"/>
    <n v="3797"/>
    <n v="129098"/>
  </r>
  <r>
    <x v="2"/>
    <x v="2"/>
    <x v="8"/>
    <x v="3"/>
    <n v="4876"/>
    <n v="321816"/>
  </r>
  <r>
    <x v="2"/>
    <x v="2"/>
    <x v="9"/>
    <x v="2"/>
    <n v="1870"/>
    <n v="224400"/>
  </r>
  <r>
    <x v="2"/>
    <x v="2"/>
    <x v="10"/>
    <x v="0"/>
    <n v="2265"/>
    <n v="305775"/>
  </r>
  <r>
    <x v="2"/>
    <x v="2"/>
    <x v="11"/>
    <x v="0"/>
    <n v="3029"/>
    <n v="315016"/>
  </r>
  <r>
    <x v="2"/>
    <x v="2"/>
    <x v="12"/>
    <x v="0"/>
    <n v="1685"/>
    <n v="82565"/>
  </r>
  <r>
    <x v="2"/>
    <x v="2"/>
    <x v="13"/>
    <x v="1"/>
    <n v="1440"/>
    <n v="59040"/>
  </r>
  <r>
    <x v="2"/>
    <x v="2"/>
    <x v="14"/>
    <x v="0"/>
    <n v="4331"/>
    <n v="129930"/>
  </r>
  <r>
    <x v="2"/>
    <x v="2"/>
    <x v="15"/>
    <x v="3"/>
    <n v="162"/>
    <n v="7290"/>
  </r>
  <r>
    <x v="2"/>
    <x v="2"/>
    <x v="16"/>
    <x v="2"/>
    <n v="4580"/>
    <n v="380140"/>
  </r>
  <r>
    <x v="2"/>
    <x v="2"/>
    <x v="17"/>
    <x v="0"/>
    <n v="2894"/>
    <n v="170746"/>
  </r>
  <r>
    <x v="2"/>
    <x v="2"/>
    <x v="18"/>
    <x v="1"/>
    <n v="1730"/>
    <n v="50170"/>
  </r>
  <r>
    <x v="2"/>
    <x v="2"/>
    <x v="19"/>
    <x v="2"/>
    <n v="4755"/>
    <n v="499275"/>
  </r>
  <r>
    <x v="2"/>
    <x v="2"/>
    <x v="20"/>
    <x v="2"/>
    <n v="1717"/>
    <n v="104737"/>
  </r>
  <r>
    <x v="2"/>
    <x v="2"/>
    <x v="21"/>
    <x v="0"/>
    <n v="3384"/>
    <n v="372240"/>
  </r>
  <r>
    <x v="2"/>
    <x v="2"/>
    <x v="22"/>
    <x v="3"/>
    <n v="2011"/>
    <n v="154847"/>
  </r>
  <r>
    <x v="2"/>
    <x v="2"/>
    <x v="23"/>
    <x v="3"/>
    <n v="3835"/>
    <n v="122720"/>
  </r>
  <r>
    <x v="2"/>
    <x v="2"/>
    <x v="24"/>
    <x v="3"/>
    <n v="4418"/>
    <n v="499234"/>
  </r>
  <r>
    <x v="2"/>
    <x v="2"/>
    <x v="25"/>
    <x v="2"/>
    <n v="4976"/>
    <n v="432912"/>
  </r>
  <r>
    <x v="2"/>
    <x v="2"/>
    <x v="26"/>
    <x v="0"/>
    <n v="4079"/>
    <n v="277372"/>
  </r>
  <r>
    <x v="2"/>
    <x v="2"/>
    <x v="27"/>
    <x v="1"/>
    <n v="4192"/>
    <n v="129952"/>
  </r>
  <r>
    <x v="2"/>
    <x v="2"/>
    <x v="28"/>
    <x v="0"/>
    <n v="2496"/>
    <n v="324480"/>
  </r>
  <r>
    <x v="2"/>
    <x v="2"/>
    <x v="29"/>
    <x v="3"/>
    <n v="410"/>
    <n v="13120"/>
  </r>
  <r>
    <x v="2"/>
    <x v="2"/>
    <x v="30"/>
    <x v="1"/>
    <n v="2736"/>
    <n v="164160"/>
  </r>
  <r>
    <x v="2"/>
    <x v="2"/>
    <x v="31"/>
    <x v="3"/>
    <n v="1686"/>
    <n v="59010"/>
  </r>
  <r>
    <x v="2"/>
    <x v="2"/>
    <x v="32"/>
    <x v="2"/>
    <n v="119"/>
    <n v="15470"/>
  </r>
  <r>
    <x v="2"/>
    <x v="2"/>
    <x v="33"/>
    <x v="0"/>
    <n v="889"/>
    <n v="81788"/>
  </r>
  <r>
    <x v="2"/>
    <x v="2"/>
    <x v="34"/>
    <x v="3"/>
    <n v="1589"/>
    <n v="58793"/>
  </r>
  <r>
    <x v="2"/>
    <x v="2"/>
    <x v="35"/>
    <x v="1"/>
    <n v="783"/>
    <n v="92394"/>
  </r>
  <r>
    <x v="2"/>
    <x v="2"/>
    <x v="36"/>
    <x v="0"/>
    <n v="1412"/>
    <n v="177912"/>
  </r>
  <r>
    <x v="2"/>
    <x v="2"/>
    <x v="37"/>
    <x v="0"/>
    <n v="336"/>
    <n v="36624"/>
  </r>
  <r>
    <x v="2"/>
    <x v="2"/>
    <x v="38"/>
    <x v="2"/>
    <n v="3774"/>
    <n v="343434"/>
  </r>
  <r>
    <x v="2"/>
    <x v="2"/>
    <x v="39"/>
    <x v="1"/>
    <n v="3836"/>
    <n v="180292"/>
  </r>
  <r>
    <x v="2"/>
    <x v="2"/>
    <x v="40"/>
    <x v="0"/>
    <n v="2637"/>
    <n v="116028"/>
  </r>
  <r>
    <x v="2"/>
    <x v="2"/>
    <x v="41"/>
    <x v="2"/>
    <n v="3667"/>
    <n v="451041"/>
  </r>
  <r>
    <x v="2"/>
    <x v="2"/>
    <x v="42"/>
    <x v="0"/>
    <n v="338"/>
    <n v="31772"/>
  </r>
  <r>
    <x v="2"/>
    <x v="2"/>
    <x v="43"/>
    <x v="1"/>
    <n v="3392"/>
    <n v="125504"/>
  </r>
  <r>
    <x v="2"/>
    <x v="2"/>
    <x v="44"/>
    <x v="2"/>
    <n v="4564"/>
    <n v="584192"/>
  </r>
  <r>
    <x v="2"/>
    <x v="2"/>
    <x v="45"/>
    <x v="0"/>
    <n v="3946"/>
    <n v="548494"/>
  </r>
  <r>
    <x v="2"/>
    <x v="2"/>
    <x v="46"/>
    <x v="2"/>
    <n v="4724"/>
    <n v="170064"/>
  </r>
  <r>
    <x v="2"/>
    <x v="2"/>
    <x v="47"/>
    <x v="2"/>
    <n v="1321"/>
    <n v="169088"/>
  </r>
  <r>
    <x v="2"/>
    <x v="2"/>
    <x v="48"/>
    <x v="1"/>
    <n v="1443"/>
    <n v="44733"/>
  </r>
  <r>
    <x v="2"/>
    <x v="2"/>
    <x v="49"/>
    <x v="2"/>
    <n v="2570"/>
    <n v="115650"/>
  </r>
  <r>
    <x v="3"/>
    <x v="3"/>
    <x v="0"/>
    <x v="1"/>
    <n v="4190"/>
    <n v="506990"/>
  </r>
  <r>
    <x v="3"/>
    <x v="3"/>
    <x v="1"/>
    <x v="0"/>
    <n v="2744"/>
    <n v="257936"/>
  </r>
  <r>
    <x v="3"/>
    <x v="3"/>
    <x v="2"/>
    <x v="3"/>
    <n v="4559"/>
    <n v="665614"/>
  </r>
  <r>
    <x v="3"/>
    <x v="3"/>
    <x v="3"/>
    <x v="0"/>
    <n v="4139"/>
    <n v="562904"/>
  </r>
  <r>
    <x v="3"/>
    <x v="3"/>
    <x v="4"/>
    <x v="3"/>
    <n v="4961"/>
    <n v="213323"/>
  </r>
  <r>
    <x v="3"/>
    <x v="3"/>
    <x v="5"/>
    <x v="3"/>
    <n v="371"/>
    <n v="26341"/>
  </r>
  <r>
    <x v="3"/>
    <x v="3"/>
    <x v="6"/>
    <x v="3"/>
    <n v="901"/>
    <n v="26129"/>
  </r>
  <r>
    <x v="3"/>
    <x v="3"/>
    <x v="7"/>
    <x v="0"/>
    <n v="257"/>
    <n v="16705"/>
  </r>
  <r>
    <x v="3"/>
    <x v="3"/>
    <x v="8"/>
    <x v="3"/>
    <n v="634"/>
    <n v="86858"/>
  </r>
  <r>
    <x v="3"/>
    <x v="3"/>
    <x v="9"/>
    <x v="2"/>
    <n v="2426"/>
    <n v="288694"/>
  </r>
  <r>
    <x v="3"/>
    <x v="3"/>
    <x v="10"/>
    <x v="0"/>
    <n v="4968"/>
    <n v="471960"/>
  </r>
  <r>
    <x v="3"/>
    <x v="3"/>
    <x v="11"/>
    <x v="2"/>
    <n v="3314"/>
    <n v="321458"/>
  </r>
  <r>
    <x v="3"/>
    <x v="3"/>
    <x v="12"/>
    <x v="0"/>
    <n v="2426"/>
    <n v="135856"/>
  </r>
  <r>
    <x v="3"/>
    <x v="3"/>
    <x v="13"/>
    <x v="1"/>
    <n v="2644"/>
    <n v="74032"/>
  </r>
  <r>
    <x v="3"/>
    <x v="3"/>
    <x v="14"/>
    <x v="0"/>
    <n v="2433"/>
    <n v="253032"/>
  </r>
  <r>
    <x v="3"/>
    <x v="3"/>
    <x v="15"/>
    <x v="3"/>
    <n v="1200"/>
    <n v="66000"/>
  </r>
  <r>
    <x v="3"/>
    <x v="3"/>
    <x v="16"/>
    <x v="0"/>
    <n v="4013"/>
    <n v="296962"/>
  </r>
  <r>
    <x v="3"/>
    <x v="3"/>
    <x v="17"/>
    <x v="2"/>
    <n v="3038"/>
    <n v="385826"/>
  </r>
  <r>
    <x v="3"/>
    <x v="3"/>
    <x v="18"/>
    <x v="2"/>
    <n v="4540"/>
    <n v="227000"/>
  </r>
  <r>
    <x v="3"/>
    <x v="3"/>
    <x v="19"/>
    <x v="3"/>
    <n v="2292"/>
    <n v="59592"/>
  </r>
  <r>
    <x v="3"/>
    <x v="3"/>
    <x v="20"/>
    <x v="2"/>
    <n v="4035"/>
    <n v="379290"/>
  </r>
  <r>
    <x v="3"/>
    <x v="3"/>
    <x v="21"/>
    <x v="3"/>
    <n v="665"/>
    <n v="45885"/>
  </r>
  <r>
    <x v="3"/>
    <x v="3"/>
    <x v="22"/>
    <x v="0"/>
    <n v="3499"/>
    <n v="286918"/>
  </r>
  <r>
    <x v="3"/>
    <x v="3"/>
    <x v="23"/>
    <x v="2"/>
    <n v="3344"/>
    <n v="481536"/>
  </r>
  <r>
    <x v="3"/>
    <x v="3"/>
    <x v="24"/>
    <x v="0"/>
    <n v="503"/>
    <n v="39234"/>
  </r>
  <r>
    <x v="3"/>
    <x v="3"/>
    <x v="25"/>
    <x v="2"/>
    <n v="4264"/>
    <n v="417872"/>
  </r>
  <r>
    <x v="3"/>
    <x v="3"/>
    <x v="26"/>
    <x v="1"/>
    <n v="4909"/>
    <n v="427083"/>
  </r>
  <r>
    <x v="3"/>
    <x v="3"/>
    <x v="27"/>
    <x v="3"/>
    <n v="4210"/>
    <n v="176820"/>
  </r>
  <r>
    <x v="3"/>
    <x v="3"/>
    <x v="28"/>
    <x v="0"/>
    <n v="1889"/>
    <n v="52892"/>
  </r>
  <r>
    <x v="3"/>
    <x v="3"/>
    <x v="29"/>
    <x v="2"/>
    <n v="3916"/>
    <n v="184052"/>
  </r>
  <r>
    <x v="3"/>
    <x v="3"/>
    <x v="30"/>
    <x v="2"/>
    <n v="1756"/>
    <n v="237060"/>
  </r>
  <r>
    <x v="3"/>
    <x v="3"/>
    <x v="31"/>
    <x v="1"/>
    <n v="2208"/>
    <n v="229632"/>
  </r>
  <r>
    <x v="3"/>
    <x v="3"/>
    <x v="32"/>
    <x v="0"/>
    <n v="2122"/>
    <n v="108222"/>
  </r>
  <r>
    <x v="3"/>
    <x v="3"/>
    <x v="33"/>
    <x v="2"/>
    <n v="1361"/>
    <n v="62606"/>
  </r>
  <r>
    <x v="3"/>
    <x v="3"/>
    <x v="34"/>
    <x v="3"/>
    <n v="263"/>
    <n v="19462"/>
  </r>
  <r>
    <x v="3"/>
    <x v="3"/>
    <x v="35"/>
    <x v="1"/>
    <n v="856"/>
    <n v="44512"/>
  </r>
  <r>
    <x v="3"/>
    <x v="3"/>
    <x v="36"/>
    <x v="3"/>
    <n v="2744"/>
    <n v="137200"/>
  </r>
  <r>
    <x v="3"/>
    <x v="3"/>
    <x v="37"/>
    <x v="3"/>
    <n v="1629"/>
    <n v="52128"/>
  </r>
  <r>
    <x v="3"/>
    <x v="3"/>
    <x v="38"/>
    <x v="2"/>
    <n v="3401"/>
    <n v="248273"/>
  </r>
  <r>
    <x v="3"/>
    <x v="3"/>
    <x v="39"/>
    <x v="3"/>
    <n v="2020"/>
    <n v="151500"/>
  </r>
  <r>
    <x v="3"/>
    <x v="3"/>
    <x v="40"/>
    <x v="1"/>
    <n v="1223"/>
    <n v="139422"/>
  </r>
  <r>
    <x v="3"/>
    <x v="3"/>
    <x v="41"/>
    <x v="1"/>
    <n v="2320"/>
    <n v="97440"/>
  </r>
  <r>
    <x v="3"/>
    <x v="3"/>
    <x v="42"/>
    <x v="3"/>
    <n v="566"/>
    <n v="12452"/>
  </r>
  <r>
    <x v="3"/>
    <x v="3"/>
    <x v="43"/>
    <x v="3"/>
    <n v="2804"/>
    <n v="173848"/>
  </r>
  <r>
    <x v="3"/>
    <x v="3"/>
    <x v="44"/>
    <x v="2"/>
    <n v="508"/>
    <n v="55372"/>
  </r>
  <r>
    <x v="3"/>
    <x v="3"/>
    <x v="45"/>
    <x v="1"/>
    <n v="2973"/>
    <n v="181353"/>
  </r>
  <r>
    <x v="3"/>
    <x v="3"/>
    <x v="46"/>
    <x v="1"/>
    <n v="337"/>
    <n v="19209"/>
  </r>
  <r>
    <x v="3"/>
    <x v="3"/>
    <x v="47"/>
    <x v="3"/>
    <n v="369"/>
    <n v="53874"/>
  </r>
  <r>
    <x v="3"/>
    <x v="3"/>
    <x v="48"/>
    <x v="3"/>
    <n v="4462"/>
    <n v="455124"/>
  </r>
  <r>
    <x v="3"/>
    <x v="3"/>
    <x v="49"/>
    <x v="1"/>
    <n v="721"/>
    <n v="45423"/>
  </r>
  <r>
    <x v="4"/>
    <x v="4"/>
    <x v="0"/>
    <x v="1"/>
    <n v="1433"/>
    <n v="199187"/>
  </r>
  <r>
    <x v="4"/>
    <x v="4"/>
    <x v="1"/>
    <x v="2"/>
    <n v="1294"/>
    <n v="41408"/>
  </r>
  <r>
    <x v="4"/>
    <x v="4"/>
    <x v="2"/>
    <x v="2"/>
    <n v="4408"/>
    <n v="264480"/>
  </r>
  <r>
    <x v="4"/>
    <x v="4"/>
    <x v="3"/>
    <x v="0"/>
    <n v="4248"/>
    <n v="297360"/>
  </r>
  <r>
    <x v="4"/>
    <x v="4"/>
    <x v="4"/>
    <x v="3"/>
    <n v="4746"/>
    <n v="673932"/>
  </r>
  <r>
    <x v="4"/>
    <x v="4"/>
    <x v="5"/>
    <x v="1"/>
    <n v="2472"/>
    <n v="200232"/>
  </r>
  <r>
    <x v="4"/>
    <x v="4"/>
    <x v="6"/>
    <x v="2"/>
    <n v="3363"/>
    <n v="127794"/>
  </r>
  <r>
    <x v="4"/>
    <x v="4"/>
    <x v="7"/>
    <x v="0"/>
    <n v="3135"/>
    <n v="153615"/>
  </r>
  <r>
    <x v="4"/>
    <x v="4"/>
    <x v="8"/>
    <x v="2"/>
    <n v="1490"/>
    <n v="37250"/>
  </r>
  <r>
    <x v="4"/>
    <x v="4"/>
    <x v="9"/>
    <x v="3"/>
    <n v="2305"/>
    <n v="218975"/>
  </r>
  <r>
    <x v="4"/>
    <x v="4"/>
    <x v="10"/>
    <x v="3"/>
    <n v="3883"/>
    <n v="462077"/>
  </r>
  <r>
    <x v="4"/>
    <x v="4"/>
    <x v="11"/>
    <x v="2"/>
    <n v="2534"/>
    <n v="119098"/>
  </r>
  <r>
    <x v="4"/>
    <x v="4"/>
    <x v="12"/>
    <x v="0"/>
    <n v="198"/>
    <n v="14850"/>
  </r>
  <r>
    <x v="4"/>
    <x v="4"/>
    <x v="13"/>
    <x v="2"/>
    <n v="2078"/>
    <n v="103900"/>
  </r>
  <r>
    <x v="4"/>
    <x v="4"/>
    <x v="14"/>
    <x v="3"/>
    <n v="416"/>
    <n v="25376"/>
  </r>
  <r>
    <x v="4"/>
    <x v="4"/>
    <x v="15"/>
    <x v="3"/>
    <n v="1620"/>
    <n v="147420"/>
  </r>
  <r>
    <x v="4"/>
    <x v="4"/>
    <x v="16"/>
    <x v="2"/>
    <n v="3728"/>
    <n v="208768"/>
  </r>
  <r>
    <x v="4"/>
    <x v="4"/>
    <x v="17"/>
    <x v="1"/>
    <n v="641"/>
    <n v="67946"/>
  </r>
  <r>
    <x v="4"/>
    <x v="4"/>
    <x v="18"/>
    <x v="3"/>
    <n v="4327"/>
    <n v="207696"/>
  </r>
  <r>
    <x v="4"/>
    <x v="4"/>
    <x v="19"/>
    <x v="2"/>
    <n v="2317"/>
    <n v="143654"/>
  </r>
  <r>
    <x v="4"/>
    <x v="4"/>
    <x v="20"/>
    <x v="3"/>
    <n v="491"/>
    <n v="18167"/>
  </r>
  <r>
    <x v="4"/>
    <x v="4"/>
    <x v="21"/>
    <x v="1"/>
    <n v="4981"/>
    <n v="418404"/>
  </r>
  <r>
    <x v="4"/>
    <x v="4"/>
    <x v="22"/>
    <x v="3"/>
    <n v="610"/>
    <n v="17690"/>
  </r>
  <r>
    <x v="4"/>
    <x v="4"/>
    <x v="23"/>
    <x v="0"/>
    <n v="4293"/>
    <n v="347733"/>
  </r>
  <r>
    <x v="4"/>
    <x v="4"/>
    <x v="24"/>
    <x v="3"/>
    <n v="3437"/>
    <n v="402129"/>
  </r>
  <r>
    <x v="4"/>
    <x v="4"/>
    <x v="25"/>
    <x v="2"/>
    <n v="936"/>
    <n v="84240"/>
  </r>
  <r>
    <x v="4"/>
    <x v="4"/>
    <x v="26"/>
    <x v="1"/>
    <n v="1830"/>
    <n v="96990"/>
  </r>
  <r>
    <x v="4"/>
    <x v="4"/>
    <x v="27"/>
    <x v="1"/>
    <n v="2346"/>
    <n v="211140"/>
  </r>
  <r>
    <x v="4"/>
    <x v="4"/>
    <x v="28"/>
    <x v="2"/>
    <n v="4332"/>
    <n v="485184"/>
  </r>
  <r>
    <x v="4"/>
    <x v="4"/>
    <x v="29"/>
    <x v="1"/>
    <n v="1085"/>
    <n v="24955"/>
  </r>
  <r>
    <x v="4"/>
    <x v="4"/>
    <x v="30"/>
    <x v="3"/>
    <n v="3653"/>
    <n v="131508"/>
  </r>
  <r>
    <x v="4"/>
    <x v="4"/>
    <x v="31"/>
    <x v="2"/>
    <n v="2134"/>
    <n v="168586"/>
  </r>
  <r>
    <x v="4"/>
    <x v="4"/>
    <x v="32"/>
    <x v="2"/>
    <n v="3117"/>
    <n v="302349"/>
  </r>
  <r>
    <x v="4"/>
    <x v="4"/>
    <x v="33"/>
    <x v="3"/>
    <n v="4395"/>
    <n v="549375"/>
  </r>
  <r>
    <x v="4"/>
    <x v="4"/>
    <x v="34"/>
    <x v="2"/>
    <n v="1867"/>
    <n v="158695"/>
  </r>
  <r>
    <x v="4"/>
    <x v="4"/>
    <x v="35"/>
    <x v="0"/>
    <n v="3678"/>
    <n v="342054"/>
  </r>
  <r>
    <x v="4"/>
    <x v="4"/>
    <x v="36"/>
    <x v="2"/>
    <n v="3167"/>
    <n v="247026"/>
  </r>
  <r>
    <x v="4"/>
    <x v="4"/>
    <x v="37"/>
    <x v="1"/>
    <n v="3282"/>
    <n v="301944"/>
  </r>
  <r>
    <x v="4"/>
    <x v="4"/>
    <x v="38"/>
    <x v="1"/>
    <n v="393"/>
    <n v="27117"/>
  </r>
  <r>
    <x v="4"/>
    <x v="4"/>
    <x v="39"/>
    <x v="0"/>
    <n v="1894"/>
    <n v="265160"/>
  </r>
  <r>
    <x v="4"/>
    <x v="4"/>
    <x v="40"/>
    <x v="3"/>
    <n v="4368"/>
    <n v="607152"/>
  </r>
  <r>
    <x v="4"/>
    <x v="4"/>
    <x v="41"/>
    <x v="0"/>
    <n v="1781"/>
    <n v="115765"/>
  </r>
  <r>
    <x v="4"/>
    <x v="4"/>
    <x v="42"/>
    <x v="3"/>
    <n v="2272"/>
    <n v="104512"/>
  </r>
  <r>
    <x v="4"/>
    <x v="4"/>
    <x v="43"/>
    <x v="0"/>
    <n v="2697"/>
    <n v="153729"/>
  </r>
  <r>
    <x v="4"/>
    <x v="4"/>
    <x v="44"/>
    <x v="2"/>
    <n v="2952"/>
    <n v="357192"/>
  </r>
  <r>
    <x v="4"/>
    <x v="4"/>
    <x v="45"/>
    <x v="1"/>
    <n v="4136"/>
    <n v="566632"/>
  </r>
  <r>
    <x v="4"/>
    <x v="4"/>
    <x v="46"/>
    <x v="0"/>
    <n v="4799"/>
    <n v="345528"/>
  </r>
  <r>
    <x v="4"/>
    <x v="4"/>
    <x v="47"/>
    <x v="0"/>
    <n v="1412"/>
    <n v="184972"/>
  </r>
  <r>
    <x v="4"/>
    <x v="4"/>
    <x v="48"/>
    <x v="0"/>
    <n v="2525"/>
    <n v="330775"/>
  </r>
  <r>
    <x v="4"/>
    <x v="4"/>
    <x v="49"/>
    <x v="0"/>
    <n v="2777"/>
    <n v="224937"/>
  </r>
  <r>
    <x v="5"/>
    <x v="5"/>
    <x v="0"/>
    <x v="0"/>
    <n v="3224"/>
    <n v="135408"/>
  </r>
  <r>
    <x v="5"/>
    <x v="5"/>
    <x v="1"/>
    <x v="3"/>
    <n v="3512"/>
    <n v="523288"/>
  </r>
  <r>
    <x v="5"/>
    <x v="5"/>
    <x v="2"/>
    <x v="1"/>
    <n v="1187"/>
    <n v="86651"/>
  </r>
  <r>
    <x v="5"/>
    <x v="5"/>
    <x v="3"/>
    <x v="0"/>
    <n v="4504"/>
    <n v="297264"/>
  </r>
  <r>
    <x v="5"/>
    <x v="5"/>
    <x v="4"/>
    <x v="3"/>
    <n v="4327"/>
    <n v="571164"/>
  </r>
  <r>
    <x v="5"/>
    <x v="5"/>
    <x v="5"/>
    <x v="2"/>
    <n v="488"/>
    <n v="69784"/>
  </r>
  <r>
    <x v="5"/>
    <x v="5"/>
    <x v="6"/>
    <x v="2"/>
    <n v="3672"/>
    <n v="216648"/>
  </r>
  <r>
    <x v="5"/>
    <x v="5"/>
    <x v="7"/>
    <x v="1"/>
    <n v="327"/>
    <n v="13734"/>
  </r>
  <r>
    <x v="5"/>
    <x v="5"/>
    <x v="8"/>
    <x v="3"/>
    <n v="3436"/>
    <n v="498220"/>
  </r>
  <r>
    <x v="5"/>
    <x v="5"/>
    <x v="9"/>
    <x v="2"/>
    <n v="1548"/>
    <n v="185760"/>
  </r>
  <r>
    <x v="5"/>
    <x v="5"/>
    <x v="10"/>
    <x v="2"/>
    <n v="4501"/>
    <n v="625639"/>
  </r>
  <r>
    <x v="5"/>
    <x v="5"/>
    <x v="11"/>
    <x v="3"/>
    <n v="127"/>
    <n v="8636"/>
  </r>
  <r>
    <x v="5"/>
    <x v="5"/>
    <x v="12"/>
    <x v="3"/>
    <n v="3715"/>
    <n v="174605"/>
  </r>
  <r>
    <x v="5"/>
    <x v="5"/>
    <x v="13"/>
    <x v="3"/>
    <n v="4121"/>
    <n v="329680"/>
  </r>
  <r>
    <x v="5"/>
    <x v="5"/>
    <x v="14"/>
    <x v="2"/>
    <n v="3325"/>
    <n v="309225"/>
  </r>
  <r>
    <x v="5"/>
    <x v="5"/>
    <x v="15"/>
    <x v="0"/>
    <n v="1946"/>
    <n v="180978"/>
  </r>
  <r>
    <x v="5"/>
    <x v="5"/>
    <x v="16"/>
    <x v="1"/>
    <n v="1279"/>
    <n v="162433"/>
  </r>
  <r>
    <x v="5"/>
    <x v="5"/>
    <x v="17"/>
    <x v="1"/>
    <n v="1800"/>
    <n v="228600"/>
  </r>
  <r>
    <x v="5"/>
    <x v="5"/>
    <x v="18"/>
    <x v="1"/>
    <n v="1015"/>
    <n v="123830"/>
  </r>
  <r>
    <x v="5"/>
    <x v="5"/>
    <x v="19"/>
    <x v="1"/>
    <n v="874"/>
    <n v="35834"/>
  </r>
  <r>
    <x v="5"/>
    <x v="5"/>
    <x v="20"/>
    <x v="0"/>
    <n v="2708"/>
    <n v="138108"/>
  </r>
  <r>
    <x v="5"/>
    <x v="5"/>
    <x v="21"/>
    <x v="3"/>
    <n v="1909"/>
    <n v="145084"/>
  </r>
  <r>
    <x v="5"/>
    <x v="5"/>
    <x v="22"/>
    <x v="1"/>
    <n v="1567"/>
    <n v="137896"/>
  </r>
  <r>
    <x v="5"/>
    <x v="5"/>
    <x v="23"/>
    <x v="0"/>
    <n v="173"/>
    <n v="13494"/>
  </r>
  <r>
    <x v="5"/>
    <x v="5"/>
    <x v="24"/>
    <x v="1"/>
    <n v="2073"/>
    <n v="72555"/>
  </r>
  <r>
    <x v="5"/>
    <x v="5"/>
    <x v="25"/>
    <x v="1"/>
    <n v="764"/>
    <n v="112308"/>
  </r>
  <r>
    <x v="5"/>
    <x v="5"/>
    <x v="26"/>
    <x v="3"/>
    <n v="4942"/>
    <n v="563388"/>
  </r>
  <r>
    <x v="5"/>
    <x v="5"/>
    <x v="27"/>
    <x v="1"/>
    <n v="4155"/>
    <n v="452895"/>
  </r>
  <r>
    <x v="5"/>
    <x v="5"/>
    <x v="28"/>
    <x v="0"/>
    <n v="2173"/>
    <n v="149937"/>
  </r>
  <r>
    <x v="5"/>
    <x v="5"/>
    <x v="29"/>
    <x v="2"/>
    <n v="1380"/>
    <n v="73140"/>
  </r>
  <r>
    <x v="5"/>
    <x v="5"/>
    <x v="30"/>
    <x v="1"/>
    <n v="1716"/>
    <n v="60060"/>
  </r>
  <r>
    <x v="5"/>
    <x v="5"/>
    <x v="31"/>
    <x v="1"/>
    <n v="4729"/>
    <n v="416152"/>
  </r>
  <r>
    <x v="5"/>
    <x v="5"/>
    <x v="32"/>
    <x v="2"/>
    <n v="137"/>
    <n v="17947"/>
  </r>
  <r>
    <x v="5"/>
    <x v="5"/>
    <x v="33"/>
    <x v="1"/>
    <n v="414"/>
    <n v="14490"/>
  </r>
  <r>
    <x v="5"/>
    <x v="5"/>
    <x v="34"/>
    <x v="2"/>
    <n v="2598"/>
    <n v="145488"/>
  </r>
  <r>
    <x v="5"/>
    <x v="5"/>
    <x v="35"/>
    <x v="0"/>
    <n v="3177"/>
    <n v="155673"/>
  </r>
  <r>
    <x v="5"/>
    <x v="5"/>
    <x v="36"/>
    <x v="0"/>
    <n v="3562"/>
    <n v="477308"/>
  </r>
  <r>
    <x v="5"/>
    <x v="5"/>
    <x v="37"/>
    <x v="1"/>
    <n v="2651"/>
    <n v="273053"/>
  </r>
  <r>
    <x v="5"/>
    <x v="5"/>
    <x v="38"/>
    <x v="3"/>
    <n v="3341"/>
    <n v="417625"/>
  </r>
  <r>
    <x v="5"/>
    <x v="5"/>
    <x v="39"/>
    <x v="3"/>
    <n v="856"/>
    <n v="17976"/>
  </r>
  <r>
    <x v="5"/>
    <x v="5"/>
    <x v="40"/>
    <x v="3"/>
    <n v="810"/>
    <n v="53460"/>
  </r>
  <r>
    <x v="5"/>
    <x v="5"/>
    <x v="41"/>
    <x v="2"/>
    <n v="2945"/>
    <n v="138415"/>
  </r>
  <r>
    <x v="5"/>
    <x v="5"/>
    <x v="42"/>
    <x v="0"/>
    <n v="171"/>
    <n v="8892"/>
  </r>
  <r>
    <x v="5"/>
    <x v="5"/>
    <x v="43"/>
    <x v="2"/>
    <n v="3229"/>
    <n v="167908"/>
  </r>
  <r>
    <x v="5"/>
    <x v="5"/>
    <x v="44"/>
    <x v="1"/>
    <n v="3567"/>
    <n v="128412"/>
  </r>
  <r>
    <x v="5"/>
    <x v="5"/>
    <x v="45"/>
    <x v="1"/>
    <n v="3535"/>
    <n v="406525"/>
  </r>
  <r>
    <x v="5"/>
    <x v="5"/>
    <x v="46"/>
    <x v="3"/>
    <n v="4192"/>
    <n v="318592"/>
  </r>
  <r>
    <x v="5"/>
    <x v="5"/>
    <x v="47"/>
    <x v="0"/>
    <n v="4120"/>
    <n v="177160"/>
  </r>
  <r>
    <x v="5"/>
    <x v="5"/>
    <x v="48"/>
    <x v="1"/>
    <n v="4363"/>
    <n v="593368"/>
  </r>
  <r>
    <x v="5"/>
    <x v="5"/>
    <x v="49"/>
    <x v="0"/>
    <n v="2920"/>
    <n v="271560"/>
  </r>
  <r>
    <x v="6"/>
    <x v="6"/>
    <x v="0"/>
    <x v="1"/>
    <n v="3821"/>
    <n v="259828"/>
  </r>
  <r>
    <x v="6"/>
    <x v="6"/>
    <x v="1"/>
    <x v="3"/>
    <n v="2540"/>
    <n v="213360"/>
  </r>
  <r>
    <x v="6"/>
    <x v="6"/>
    <x v="2"/>
    <x v="3"/>
    <n v="2605"/>
    <n v="302180"/>
  </r>
  <r>
    <x v="6"/>
    <x v="6"/>
    <x v="3"/>
    <x v="2"/>
    <n v="1166"/>
    <n v="174900"/>
  </r>
  <r>
    <x v="6"/>
    <x v="6"/>
    <x v="4"/>
    <x v="1"/>
    <n v="2072"/>
    <n v="126392"/>
  </r>
  <r>
    <x v="6"/>
    <x v="6"/>
    <x v="5"/>
    <x v="0"/>
    <n v="1426"/>
    <n v="169694"/>
  </r>
  <r>
    <x v="6"/>
    <x v="6"/>
    <x v="6"/>
    <x v="3"/>
    <n v="1425"/>
    <n v="108300"/>
  </r>
  <r>
    <x v="6"/>
    <x v="6"/>
    <x v="7"/>
    <x v="1"/>
    <n v="2392"/>
    <n v="184184"/>
  </r>
  <r>
    <x v="6"/>
    <x v="6"/>
    <x v="8"/>
    <x v="1"/>
    <n v="2159"/>
    <n v="274193"/>
  </r>
  <r>
    <x v="6"/>
    <x v="6"/>
    <x v="9"/>
    <x v="2"/>
    <n v="2594"/>
    <n v="186768"/>
  </r>
  <r>
    <x v="6"/>
    <x v="6"/>
    <x v="10"/>
    <x v="3"/>
    <n v="4661"/>
    <n v="643218"/>
  </r>
  <r>
    <x v="6"/>
    <x v="6"/>
    <x v="11"/>
    <x v="2"/>
    <n v="1476"/>
    <n v="146124"/>
  </r>
  <r>
    <x v="6"/>
    <x v="6"/>
    <x v="12"/>
    <x v="3"/>
    <n v="3040"/>
    <n v="197600"/>
  </r>
  <r>
    <x v="6"/>
    <x v="6"/>
    <x v="13"/>
    <x v="2"/>
    <n v="627"/>
    <n v="15675"/>
  </r>
  <r>
    <x v="6"/>
    <x v="6"/>
    <x v="14"/>
    <x v="3"/>
    <n v="3578"/>
    <n v="440094"/>
  </r>
  <r>
    <x v="6"/>
    <x v="6"/>
    <x v="15"/>
    <x v="0"/>
    <n v="1209"/>
    <n v="118482"/>
  </r>
  <r>
    <x v="6"/>
    <x v="6"/>
    <x v="16"/>
    <x v="3"/>
    <n v="1595"/>
    <n v="172260"/>
  </r>
  <r>
    <x v="6"/>
    <x v="6"/>
    <x v="17"/>
    <x v="3"/>
    <n v="4891"/>
    <n v="640721"/>
  </r>
  <r>
    <x v="6"/>
    <x v="6"/>
    <x v="18"/>
    <x v="3"/>
    <n v="3000"/>
    <n v="123000"/>
  </r>
  <r>
    <x v="6"/>
    <x v="6"/>
    <x v="19"/>
    <x v="3"/>
    <n v="350"/>
    <n v="37100"/>
  </r>
  <r>
    <x v="6"/>
    <x v="6"/>
    <x v="20"/>
    <x v="0"/>
    <n v="1343"/>
    <n v="87295"/>
  </r>
  <r>
    <x v="6"/>
    <x v="6"/>
    <x v="21"/>
    <x v="3"/>
    <n v="2693"/>
    <n v="204668"/>
  </r>
  <r>
    <x v="6"/>
    <x v="6"/>
    <x v="22"/>
    <x v="1"/>
    <n v="2625"/>
    <n v="246750"/>
  </r>
  <r>
    <x v="6"/>
    <x v="6"/>
    <x v="23"/>
    <x v="3"/>
    <n v="1690"/>
    <n v="143650"/>
  </r>
  <r>
    <x v="6"/>
    <x v="6"/>
    <x v="24"/>
    <x v="1"/>
    <n v="1121"/>
    <n v="79591"/>
  </r>
  <r>
    <x v="6"/>
    <x v="6"/>
    <x v="25"/>
    <x v="2"/>
    <n v="581"/>
    <n v="37765"/>
  </r>
  <r>
    <x v="6"/>
    <x v="6"/>
    <x v="26"/>
    <x v="2"/>
    <n v="1672"/>
    <n v="202312"/>
  </r>
  <r>
    <x v="6"/>
    <x v="6"/>
    <x v="27"/>
    <x v="2"/>
    <n v="4610"/>
    <n v="248940"/>
  </r>
  <r>
    <x v="6"/>
    <x v="6"/>
    <x v="28"/>
    <x v="0"/>
    <n v="2818"/>
    <n v="245166"/>
  </r>
  <r>
    <x v="6"/>
    <x v="6"/>
    <x v="29"/>
    <x v="2"/>
    <n v="949"/>
    <n v="63583"/>
  </r>
  <r>
    <x v="6"/>
    <x v="6"/>
    <x v="30"/>
    <x v="1"/>
    <n v="1026"/>
    <n v="29754"/>
  </r>
  <r>
    <x v="6"/>
    <x v="6"/>
    <x v="31"/>
    <x v="3"/>
    <n v="1872"/>
    <n v="204048"/>
  </r>
  <r>
    <x v="6"/>
    <x v="6"/>
    <x v="32"/>
    <x v="2"/>
    <n v="1825"/>
    <n v="235425"/>
  </r>
  <r>
    <x v="6"/>
    <x v="6"/>
    <x v="33"/>
    <x v="0"/>
    <n v="1113"/>
    <n v="70119"/>
  </r>
  <r>
    <x v="6"/>
    <x v="6"/>
    <x v="34"/>
    <x v="3"/>
    <n v="3329"/>
    <n v="116515"/>
  </r>
  <r>
    <x v="6"/>
    <x v="6"/>
    <x v="35"/>
    <x v="2"/>
    <n v="3323"/>
    <n v="338946"/>
  </r>
  <r>
    <x v="6"/>
    <x v="6"/>
    <x v="36"/>
    <x v="3"/>
    <n v="712"/>
    <n v="54112"/>
  </r>
  <r>
    <x v="6"/>
    <x v="6"/>
    <x v="37"/>
    <x v="3"/>
    <n v="2053"/>
    <n v="69802"/>
  </r>
  <r>
    <x v="6"/>
    <x v="6"/>
    <x v="38"/>
    <x v="2"/>
    <n v="2830"/>
    <n v="268850"/>
  </r>
  <r>
    <x v="6"/>
    <x v="6"/>
    <x v="39"/>
    <x v="1"/>
    <n v="2563"/>
    <n v="82016"/>
  </r>
  <r>
    <x v="6"/>
    <x v="6"/>
    <x v="40"/>
    <x v="3"/>
    <n v="3441"/>
    <n v="289044"/>
  </r>
  <r>
    <x v="6"/>
    <x v="6"/>
    <x v="41"/>
    <x v="2"/>
    <n v="4723"/>
    <n v="396732"/>
  </r>
  <r>
    <x v="6"/>
    <x v="6"/>
    <x v="42"/>
    <x v="2"/>
    <n v="1110"/>
    <n v="124320"/>
  </r>
  <r>
    <x v="6"/>
    <x v="6"/>
    <x v="43"/>
    <x v="1"/>
    <n v="1003"/>
    <n v="51153"/>
  </r>
  <r>
    <x v="6"/>
    <x v="6"/>
    <x v="44"/>
    <x v="0"/>
    <n v="4799"/>
    <n v="604674"/>
  </r>
  <r>
    <x v="6"/>
    <x v="6"/>
    <x v="45"/>
    <x v="1"/>
    <n v="829"/>
    <n v="105283"/>
  </r>
  <r>
    <x v="6"/>
    <x v="6"/>
    <x v="46"/>
    <x v="2"/>
    <n v="109"/>
    <n v="5995"/>
  </r>
  <r>
    <x v="6"/>
    <x v="6"/>
    <x v="47"/>
    <x v="0"/>
    <n v="2672"/>
    <n v="82832"/>
  </r>
  <r>
    <x v="6"/>
    <x v="6"/>
    <x v="48"/>
    <x v="0"/>
    <n v="1314"/>
    <n v="165564"/>
  </r>
  <r>
    <x v="6"/>
    <x v="6"/>
    <x v="49"/>
    <x v="3"/>
    <n v="2185"/>
    <n v="229425"/>
  </r>
  <r>
    <x v="7"/>
    <x v="7"/>
    <x v="0"/>
    <x v="2"/>
    <n v="2633"/>
    <n v="313327"/>
  </r>
  <r>
    <x v="7"/>
    <x v="7"/>
    <x v="1"/>
    <x v="1"/>
    <n v="1098"/>
    <n v="136152"/>
  </r>
  <r>
    <x v="7"/>
    <x v="7"/>
    <x v="2"/>
    <x v="1"/>
    <n v="3367"/>
    <n v="74074"/>
  </r>
  <r>
    <x v="7"/>
    <x v="7"/>
    <x v="3"/>
    <x v="3"/>
    <n v="3392"/>
    <n v="474880"/>
  </r>
  <r>
    <x v="7"/>
    <x v="7"/>
    <x v="4"/>
    <x v="2"/>
    <n v="486"/>
    <n v="30132"/>
  </r>
  <r>
    <x v="7"/>
    <x v="7"/>
    <x v="5"/>
    <x v="0"/>
    <n v="1763"/>
    <n v="59942"/>
  </r>
  <r>
    <x v="7"/>
    <x v="7"/>
    <x v="6"/>
    <x v="1"/>
    <n v="1131"/>
    <n v="111969"/>
  </r>
  <r>
    <x v="7"/>
    <x v="7"/>
    <x v="7"/>
    <x v="2"/>
    <n v="3256"/>
    <n v="351648"/>
  </r>
  <r>
    <x v="7"/>
    <x v="7"/>
    <x v="8"/>
    <x v="1"/>
    <n v="963"/>
    <n v="141561"/>
  </r>
  <r>
    <x v="7"/>
    <x v="7"/>
    <x v="9"/>
    <x v="0"/>
    <n v="1484"/>
    <n v="81620"/>
  </r>
  <r>
    <x v="7"/>
    <x v="7"/>
    <x v="10"/>
    <x v="2"/>
    <n v="3722"/>
    <n v="509914"/>
  </r>
  <r>
    <x v="7"/>
    <x v="7"/>
    <x v="11"/>
    <x v="1"/>
    <n v="4787"/>
    <n v="354238"/>
  </r>
  <r>
    <x v="7"/>
    <x v="7"/>
    <x v="12"/>
    <x v="2"/>
    <n v="521"/>
    <n v="14588"/>
  </r>
  <r>
    <x v="7"/>
    <x v="7"/>
    <x v="13"/>
    <x v="2"/>
    <n v="4146"/>
    <n v="414600"/>
  </r>
  <r>
    <x v="7"/>
    <x v="7"/>
    <x v="14"/>
    <x v="2"/>
    <n v="1896"/>
    <n v="191496"/>
  </r>
  <r>
    <x v="7"/>
    <x v="7"/>
    <x v="15"/>
    <x v="0"/>
    <n v="1070"/>
    <n v="68480"/>
  </r>
  <r>
    <x v="7"/>
    <x v="7"/>
    <x v="16"/>
    <x v="2"/>
    <n v="1866"/>
    <n v="39186"/>
  </r>
  <r>
    <x v="7"/>
    <x v="7"/>
    <x v="17"/>
    <x v="3"/>
    <n v="2343"/>
    <n v="46860"/>
  </r>
  <r>
    <x v="7"/>
    <x v="7"/>
    <x v="18"/>
    <x v="3"/>
    <n v="3267"/>
    <n v="238491"/>
  </r>
  <r>
    <x v="7"/>
    <x v="7"/>
    <x v="19"/>
    <x v="1"/>
    <n v="388"/>
    <n v="16296"/>
  </r>
  <r>
    <x v="7"/>
    <x v="7"/>
    <x v="20"/>
    <x v="1"/>
    <n v="525"/>
    <n v="59325"/>
  </r>
  <r>
    <x v="7"/>
    <x v="7"/>
    <x v="21"/>
    <x v="2"/>
    <n v="3097"/>
    <n v="393319"/>
  </r>
  <r>
    <x v="7"/>
    <x v="7"/>
    <x v="22"/>
    <x v="2"/>
    <n v="4928"/>
    <n v="325248"/>
  </r>
  <r>
    <x v="7"/>
    <x v="7"/>
    <x v="23"/>
    <x v="0"/>
    <n v="4878"/>
    <n v="97560"/>
  </r>
  <r>
    <x v="7"/>
    <x v="7"/>
    <x v="24"/>
    <x v="1"/>
    <n v="4588"/>
    <n v="339512"/>
  </r>
  <r>
    <x v="7"/>
    <x v="7"/>
    <x v="25"/>
    <x v="1"/>
    <n v="3045"/>
    <n v="456750"/>
  </r>
  <r>
    <x v="7"/>
    <x v="7"/>
    <x v="26"/>
    <x v="2"/>
    <n v="3639"/>
    <n v="171033"/>
  </r>
  <r>
    <x v="7"/>
    <x v="7"/>
    <x v="27"/>
    <x v="0"/>
    <n v="3563"/>
    <n v="256536"/>
  </r>
  <r>
    <x v="7"/>
    <x v="7"/>
    <x v="28"/>
    <x v="1"/>
    <n v="186"/>
    <n v="12834"/>
  </r>
  <r>
    <x v="7"/>
    <x v="7"/>
    <x v="29"/>
    <x v="3"/>
    <n v="3678"/>
    <n v="327342"/>
  </r>
  <r>
    <x v="7"/>
    <x v="7"/>
    <x v="30"/>
    <x v="0"/>
    <n v="4186"/>
    <n v="246974"/>
  </r>
  <r>
    <x v="7"/>
    <x v="7"/>
    <x v="31"/>
    <x v="3"/>
    <n v="4893"/>
    <n v="322938"/>
  </r>
  <r>
    <x v="7"/>
    <x v="7"/>
    <x v="32"/>
    <x v="2"/>
    <n v="4483"/>
    <n v="641069"/>
  </r>
  <r>
    <x v="7"/>
    <x v="7"/>
    <x v="33"/>
    <x v="2"/>
    <n v="1378"/>
    <n v="42718"/>
  </r>
  <r>
    <x v="7"/>
    <x v="7"/>
    <x v="34"/>
    <x v="3"/>
    <n v="3861"/>
    <n v="177606"/>
  </r>
  <r>
    <x v="7"/>
    <x v="7"/>
    <x v="35"/>
    <x v="0"/>
    <n v="310"/>
    <n v="35650"/>
  </r>
  <r>
    <x v="7"/>
    <x v="7"/>
    <x v="36"/>
    <x v="0"/>
    <n v="1021"/>
    <n v="105163"/>
  </r>
  <r>
    <x v="7"/>
    <x v="7"/>
    <x v="37"/>
    <x v="2"/>
    <n v="228"/>
    <n v="7980"/>
  </r>
  <r>
    <x v="7"/>
    <x v="7"/>
    <x v="38"/>
    <x v="1"/>
    <n v="3878"/>
    <n v="255948"/>
  </r>
  <r>
    <x v="7"/>
    <x v="7"/>
    <x v="39"/>
    <x v="2"/>
    <n v="1269"/>
    <n v="78678"/>
  </r>
  <r>
    <x v="7"/>
    <x v="7"/>
    <x v="40"/>
    <x v="0"/>
    <n v="2927"/>
    <n v="360021"/>
  </r>
  <r>
    <x v="7"/>
    <x v="7"/>
    <x v="41"/>
    <x v="0"/>
    <n v="301"/>
    <n v="12341"/>
  </r>
  <r>
    <x v="7"/>
    <x v="7"/>
    <x v="42"/>
    <x v="1"/>
    <n v="4376"/>
    <n v="529496"/>
  </r>
  <r>
    <x v="7"/>
    <x v="7"/>
    <x v="43"/>
    <x v="1"/>
    <n v="686"/>
    <n v="52136"/>
  </r>
  <r>
    <x v="7"/>
    <x v="7"/>
    <x v="44"/>
    <x v="1"/>
    <n v="2439"/>
    <n v="112194"/>
  </r>
  <r>
    <x v="7"/>
    <x v="7"/>
    <x v="45"/>
    <x v="1"/>
    <n v="4250"/>
    <n v="603500"/>
  </r>
  <r>
    <x v="7"/>
    <x v="7"/>
    <x v="46"/>
    <x v="2"/>
    <n v="2210"/>
    <n v="53040"/>
  </r>
  <r>
    <x v="7"/>
    <x v="7"/>
    <x v="47"/>
    <x v="3"/>
    <n v="3629"/>
    <n v="116128"/>
  </r>
  <r>
    <x v="7"/>
    <x v="7"/>
    <x v="48"/>
    <x v="1"/>
    <n v="2663"/>
    <n v="157117"/>
  </r>
  <r>
    <x v="7"/>
    <x v="7"/>
    <x v="49"/>
    <x v="1"/>
    <n v="4822"/>
    <n v="342362"/>
  </r>
  <r>
    <x v="8"/>
    <x v="8"/>
    <x v="0"/>
    <x v="3"/>
    <n v="3854"/>
    <n v="535706"/>
  </r>
  <r>
    <x v="8"/>
    <x v="8"/>
    <x v="1"/>
    <x v="2"/>
    <n v="2754"/>
    <n v="264384"/>
  </r>
  <r>
    <x v="8"/>
    <x v="8"/>
    <x v="2"/>
    <x v="3"/>
    <n v="1001"/>
    <n v="35035"/>
  </r>
  <r>
    <x v="8"/>
    <x v="8"/>
    <x v="3"/>
    <x v="3"/>
    <n v="4486"/>
    <n v="488974"/>
  </r>
  <r>
    <x v="8"/>
    <x v="8"/>
    <x v="4"/>
    <x v="2"/>
    <n v="2342"/>
    <n v="175650"/>
  </r>
  <r>
    <x v="8"/>
    <x v="8"/>
    <x v="5"/>
    <x v="1"/>
    <n v="2779"/>
    <n v="66696"/>
  </r>
  <r>
    <x v="8"/>
    <x v="8"/>
    <x v="6"/>
    <x v="0"/>
    <n v="4284"/>
    <n v="278460"/>
  </r>
  <r>
    <x v="8"/>
    <x v="8"/>
    <x v="7"/>
    <x v="3"/>
    <n v="166"/>
    <n v="7636"/>
  </r>
  <r>
    <x v="8"/>
    <x v="8"/>
    <x v="8"/>
    <x v="2"/>
    <n v="4623"/>
    <n v="651843"/>
  </r>
  <r>
    <x v="8"/>
    <x v="8"/>
    <x v="9"/>
    <x v="0"/>
    <n v="3467"/>
    <n v="357101"/>
  </r>
  <r>
    <x v="8"/>
    <x v="8"/>
    <x v="10"/>
    <x v="3"/>
    <n v="2119"/>
    <n v="65689"/>
  </r>
  <r>
    <x v="8"/>
    <x v="8"/>
    <x v="11"/>
    <x v="3"/>
    <n v="4419"/>
    <n v="375615"/>
  </r>
  <r>
    <x v="8"/>
    <x v="8"/>
    <x v="12"/>
    <x v="3"/>
    <n v="1263"/>
    <n v="79569"/>
  </r>
  <r>
    <x v="8"/>
    <x v="8"/>
    <x v="13"/>
    <x v="2"/>
    <n v="1947"/>
    <n v="146025"/>
  </r>
  <r>
    <x v="8"/>
    <x v="8"/>
    <x v="14"/>
    <x v="0"/>
    <n v="1998"/>
    <n v="223776"/>
  </r>
  <r>
    <x v="8"/>
    <x v="8"/>
    <x v="15"/>
    <x v="0"/>
    <n v="3268"/>
    <n v="238564"/>
  </r>
  <r>
    <x v="8"/>
    <x v="8"/>
    <x v="16"/>
    <x v="2"/>
    <n v="1808"/>
    <n v="39776"/>
  </r>
  <r>
    <x v="8"/>
    <x v="8"/>
    <x v="17"/>
    <x v="1"/>
    <n v="2930"/>
    <n v="99620"/>
  </r>
  <r>
    <x v="8"/>
    <x v="8"/>
    <x v="18"/>
    <x v="1"/>
    <n v="1170"/>
    <n v="113490"/>
  </r>
  <r>
    <x v="8"/>
    <x v="8"/>
    <x v="19"/>
    <x v="0"/>
    <n v="4245"/>
    <n v="182535"/>
  </r>
  <r>
    <x v="8"/>
    <x v="8"/>
    <x v="20"/>
    <x v="1"/>
    <n v="3138"/>
    <n v="357732"/>
  </r>
  <r>
    <x v="8"/>
    <x v="8"/>
    <x v="21"/>
    <x v="2"/>
    <n v="3416"/>
    <n v="406504"/>
  </r>
  <r>
    <x v="8"/>
    <x v="8"/>
    <x v="22"/>
    <x v="1"/>
    <n v="1796"/>
    <n v="181396"/>
  </r>
  <r>
    <x v="8"/>
    <x v="8"/>
    <x v="23"/>
    <x v="3"/>
    <n v="1104"/>
    <n v="35328"/>
  </r>
  <r>
    <x v="8"/>
    <x v="8"/>
    <x v="24"/>
    <x v="1"/>
    <n v="1704"/>
    <n v="136320"/>
  </r>
  <r>
    <x v="8"/>
    <x v="8"/>
    <x v="25"/>
    <x v="3"/>
    <n v="3847"/>
    <n v="84634"/>
  </r>
  <r>
    <x v="8"/>
    <x v="8"/>
    <x v="26"/>
    <x v="1"/>
    <n v="1491"/>
    <n v="144627"/>
  </r>
  <r>
    <x v="8"/>
    <x v="8"/>
    <x v="27"/>
    <x v="3"/>
    <n v="2970"/>
    <n v="433620"/>
  </r>
  <r>
    <x v="8"/>
    <x v="8"/>
    <x v="28"/>
    <x v="3"/>
    <n v="3877"/>
    <n v="554411"/>
  </r>
  <r>
    <x v="8"/>
    <x v="8"/>
    <x v="29"/>
    <x v="1"/>
    <n v="4916"/>
    <n v="147480"/>
  </r>
  <r>
    <x v="8"/>
    <x v="8"/>
    <x v="30"/>
    <x v="2"/>
    <n v="127"/>
    <n v="14478"/>
  </r>
  <r>
    <x v="8"/>
    <x v="8"/>
    <x v="31"/>
    <x v="0"/>
    <n v="1434"/>
    <n v="58794"/>
  </r>
  <r>
    <x v="8"/>
    <x v="8"/>
    <x v="32"/>
    <x v="0"/>
    <n v="3062"/>
    <n v="379688"/>
  </r>
  <r>
    <x v="8"/>
    <x v="8"/>
    <x v="33"/>
    <x v="2"/>
    <n v="3874"/>
    <n v="449384"/>
  </r>
  <r>
    <x v="8"/>
    <x v="8"/>
    <x v="34"/>
    <x v="1"/>
    <n v="2684"/>
    <n v="214720"/>
  </r>
  <r>
    <x v="8"/>
    <x v="8"/>
    <x v="35"/>
    <x v="3"/>
    <n v="374"/>
    <n v="26928"/>
  </r>
  <r>
    <x v="8"/>
    <x v="8"/>
    <x v="36"/>
    <x v="0"/>
    <n v="342"/>
    <n v="9234"/>
  </r>
  <r>
    <x v="8"/>
    <x v="8"/>
    <x v="37"/>
    <x v="0"/>
    <n v="117"/>
    <n v="8073"/>
  </r>
  <r>
    <x v="8"/>
    <x v="8"/>
    <x v="38"/>
    <x v="0"/>
    <n v="3784"/>
    <n v="223256"/>
  </r>
  <r>
    <x v="8"/>
    <x v="8"/>
    <x v="39"/>
    <x v="2"/>
    <n v="1878"/>
    <n v="232872"/>
  </r>
  <r>
    <x v="8"/>
    <x v="8"/>
    <x v="40"/>
    <x v="0"/>
    <n v="2875"/>
    <n v="324875"/>
  </r>
  <r>
    <x v="8"/>
    <x v="8"/>
    <x v="41"/>
    <x v="2"/>
    <n v="4941"/>
    <n v="538569"/>
  </r>
  <r>
    <x v="8"/>
    <x v="8"/>
    <x v="42"/>
    <x v="2"/>
    <n v="1145"/>
    <n v="92745"/>
  </r>
  <r>
    <x v="8"/>
    <x v="8"/>
    <x v="43"/>
    <x v="1"/>
    <n v="2072"/>
    <n v="161616"/>
  </r>
  <r>
    <x v="8"/>
    <x v="8"/>
    <x v="44"/>
    <x v="0"/>
    <n v="2321"/>
    <n v="192643"/>
  </r>
  <r>
    <x v="8"/>
    <x v="8"/>
    <x v="45"/>
    <x v="2"/>
    <n v="1331"/>
    <n v="39930"/>
  </r>
  <r>
    <x v="8"/>
    <x v="8"/>
    <x v="46"/>
    <x v="3"/>
    <n v="131"/>
    <n v="8646"/>
  </r>
  <r>
    <x v="8"/>
    <x v="8"/>
    <x v="47"/>
    <x v="2"/>
    <n v="1377"/>
    <n v="162486"/>
  </r>
  <r>
    <x v="8"/>
    <x v="8"/>
    <x v="48"/>
    <x v="0"/>
    <n v="2155"/>
    <n v="127145"/>
  </r>
  <r>
    <x v="8"/>
    <x v="8"/>
    <x v="49"/>
    <x v="3"/>
    <n v="4012"/>
    <n v="421260"/>
  </r>
  <r>
    <x v="9"/>
    <x v="9"/>
    <x v="0"/>
    <x v="0"/>
    <n v="1783"/>
    <n v="94499"/>
  </r>
  <r>
    <x v="9"/>
    <x v="9"/>
    <x v="1"/>
    <x v="1"/>
    <n v="865"/>
    <n v="91690"/>
  </r>
  <r>
    <x v="9"/>
    <x v="9"/>
    <x v="2"/>
    <x v="0"/>
    <n v="146"/>
    <n v="3650"/>
  </r>
  <r>
    <x v="9"/>
    <x v="9"/>
    <x v="3"/>
    <x v="3"/>
    <n v="4301"/>
    <n v="593538"/>
  </r>
  <r>
    <x v="9"/>
    <x v="9"/>
    <x v="4"/>
    <x v="3"/>
    <n v="1907"/>
    <n v="167816"/>
  </r>
  <r>
    <x v="9"/>
    <x v="9"/>
    <x v="5"/>
    <x v="0"/>
    <n v="3496"/>
    <n v="496432"/>
  </r>
  <r>
    <x v="9"/>
    <x v="9"/>
    <x v="6"/>
    <x v="1"/>
    <n v="137"/>
    <n v="15755"/>
  </r>
  <r>
    <x v="9"/>
    <x v="9"/>
    <x v="7"/>
    <x v="2"/>
    <n v="674"/>
    <n v="65378"/>
  </r>
  <r>
    <x v="9"/>
    <x v="9"/>
    <x v="8"/>
    <x v="3"/>
    <n v="3612"/>
    <n v="520128"/>
  </r>
  <r>
    <x v="9"/>
    <x v="9"/>
    <x v="9"/>
    <x v="3"/>
    <n v="497"/>
    <n v="63616"/>
  </r>
  <r>
    <x v="9"/>
    <x v="9"/>
    <x v="10"/>
    <x v="3"/>
    <n v="2853"/>
    <n v="236799"/>
  </r>
  <r>
    <x v="9"/>
    <x v="9"/>
    <x v="11"/>
    <x v="0"/>
    <n v="2018"/>
    <n v="272430"/>
  </r>
  <r>
    <x v="9"/>
    <x v="9"/>
    <x v="12"/>
    <x v="2"/>
    <n v="1630"/>
    <n v="68460"/>
  </r>
  <r>
    <x v="9"/>
    <x v="9"/>
    <x v="13"/>
    <x v="1"/>
    <n v="1151"/>
    <n v="131214"/>
  </r>
  <r>
    <x v="9"/>
    <x v="9"/>
    <x v="14"/>
    <x v="3"/>
    <n v="263"/>
    <n v="24722"/>
  </r>
  <r>
    <x v="9"/>
    <x v="9"/>
    <x v="15"/>
    <x v="2"/>
    <n v="1465"/>
    <n v="30765"/>
  </r>
  <r>
    <x v="9"/>
    <x v="9"/>
    <x v="16"/>
    <x v="0"/>
    <n v="1104"/>
    <n v="160080"/>
  </r>
  <r>
    <x v="9"/>
    <x v="9"/>
    <x v="17"/>
    <x v="0"/>
    <n v="611"/>
    <n v="26884"/>
  </r>
  <r>
    <x v="9"/>
    <x v="9"/>
    <x v="18"/>
    <x v="3"/>
    <n v="3840"/>
    <n v="345600"/>
  </r>
  <r>
    <x v="9"/>
    <x v="9"/>
    <x v="19"/>
    <x v="3"/>
    <n v="311"/>
    <n v="7153"/>
  </r>
  <r>
    <x v="9"/>
    <x v="9"/>
    <x v="20"/>
    <x v="2"/>
    <n v="2889"/>
    <n v="156006"/>
  </r>
  <r>
    <x v="9"/>
    <x v="9"/>
    <x v="21"/>
    <x v="0"/>
    <n v="2982"/>
    <n v="408534"/>
  </r>
  <r>
    <x v="9"/>
    <x v="9"/>
    <x v="22"/>
    <x v="2"/>
    <n v="4612"/>
    <n v="382796"/>
  </r>
  <r>
    <x v="9"/>
    <x v="9"/>
    <x v="23"/>
    <x v="2"/>
    <n v="1922"/>
    <n v="153760"/>
  </r>
  <r>
    <x v="9"/>
    <x v="9"/>
    <x v="24"/>
    <x v="2"/>
    <n v="4601"/>
    <n v="533716"/>
  </r>
  <r>
    <x v="9"/>
    <x v="9"/>
    <x v="25"/>
    <x v="0"/>
    <n v="2916"/>
    <n v="163296"/>
  </r>
  <r>
    <x v="9"/>
    <x v="9"/>
    <x v="26"/>
    <x v="0"/>
    <n v="1255"/>
    <n v="71535"/>
  </r>
  <r>
    <x v="9"/>
    <x v="9"/>
    <x v="27"/>
    <x v="1"/>
    <n v="2200"/>
    <n v="204600"/>
  </r>
  <r>
    <x v="9"/>
    <x v="9"/>
    <x v="28"/>
    <x v="1"/>
    <n v="462"/>
    <n v="37422"/>
  </r>
  <r>
    <x v="9"/>
    <x v="9"/>
    <x v="29"/>
    <x v="0"/>
    <n v="3430"/>
    <n v="336140"/>
  </r>
  <r>
    <x v="9"/>
    <x v="9"/>
    <x v="30"/>
    <x v="1"/>
    <n v="428"/>
    <n v="38092"/>
  </r>
  <r>
    <x v="9"/>
    <x v="9"/>
    <x v="31"/>
    <x v="0"/>
    <n v="3761"/>
    <n v="116591"/>
  </r>
  <r>
    <x v="9"/>
    <x v="9"/>
    <x v="32"/>
    <x v="3"/>
    <n v="530"/>
    <n v="78970"/>
  </r>
  <r>
    <x v="9"/>
    <x v="9"/>
    <x v="33"/>
    <x v="1"/>
    <n v="3373"/>
    <n v="350792"/>
  </r>
  <r>
    <x v="9"/>
    <x v="9"/>
    <x v="34"/>
    <x v="2"/>
    <n v="4467"/>
    <n v="254619"/>
  </r>
  <r>
    <x v="9"/>
    <x v="9"/>
    <x v="35"/>
    <x v="2"/>
    <n v="4010"/>
    <n v="388970"/>
  </r>
  <r>
    <x v="9"/>
    <x v="9"/>
    <x v="36"/>
    <x v="0"/>
    <n v="2535"/>
    <n v="225615"/>
  </r>
  <r>
    <x v="9"/>
    <x v="9"/>
    <x v="37"/>
    <x v="2"/>
    <n v="1789"/>
    <n v="245093"/>
  </r>
  <r>
    <x v="9"/>
    <x v="9"/>
    <x v="38"/>
    <x v="3"/>
    <n v="3115"/>
    <n v="174440"/>
  </r>
  <r>
    <x v="9"/>
    <x v="9"/>
    <x v="39"/>
    <x v="0"/>
    <n v="720"/>
    <n v="83520"/>
  </r>
  <r>
    <x v="9"/>
    <x v="9"/>
    <x v="40"/>
    <x v="1"/>
    <n v="4136"/>
    <n v="119944"/>
  </r>
  <r>
    <x v="9"/>
    <x v="9"/>
    <x v="41"/>
    <x v="0"/>
    <n v="2025"/>
    <n v="226800"/>
  </r>
  <r>
    <x v="9"/>
    <x v="9"/>
    <x v="42"/>
    <x v="3"/>
    <n v="3626"/>
    <n v="471380"/>
  </r>
  <r>
    <x v="9"/>
    <x v="9"/>
    <x v="43"/>
    <x v="0"/>
    <n v="668"/>
    <n v="82832"/>
  </r>
  <r>
    <x v="9"/>
    <x v="9"/>
    <x v="44"/>
    <x v="1"/>
    <n v="4542"/>
    <n v="540498"/>
  </r>
  <r>
    <x v="9"/>
    <x v="9"/>
    <x v="45"/>
    <x v="2"/>
    <n v="1178"/>
    <n v="24738"/>
  </r>
  <r>
    <x v="9"/>
    <x v="9"/>
    <x v="46"/>
    <x v="2"/>
    <n v="576"/>
    <n v="33984"/>
  </r>
  <r>
    <x v="9"/>
    <x v="9"/>
    <x v="47"/>
    <x v="0"/>
    <n v="4902"/>
    <n v="568632"/>
  </r>
  <r>
    <x v="9"/>
    <x v="9"/>
    <x v="48"/>
    <x v="0"/>
    <n v="4833"/>
    <n v="652455"/>
  </r>
  <r>
    <x v="9"/>
    <x v="9"/>
    <x v="49"/>
    <x v="2"/>
    <n v="3480"/>
    <n v="441960"/>
  </r>
  <r>
    <x v="10"/>
    <x v="10"/>
    <x v="0"/>
    <x v="3"/>
    <n v="1335"/>
    <n v="101460"/>
  </r>
  <r>
    <x v="10"/>
    <x v="10"/>
    <x v="1"/>
    <x v="1"/>
    <n v="4135"/>
    <n v="190210"/>
  </r>
  <r>
    <x v="10"/>
    <x v="10"/>
    <x v="2"/>
    <x v="3"/>
    <n v="2723"/>
    <n v="277746"/>
  </r>
  <r>
    <x v="10"/>
    <x v="10"/>
    <x v="3"/>
    <x v="1"/>
    <n v="2144"/>
    <n v="111488"/>
  </r>
  <r>
    <x v="10"/>
    <x v="10"/>
    <x v="4"/>
    <x v="2"/>
    <n v="206"/>
    <n v="4944"/>
  </r>
  <r>
    <x v="10"/>
    <x v="10"/>
    <x v="5"/>
    <x v="2"/>
    <n v="2400"/>
    <n v="268800"/>
  </r>
  <r>
    <x v="10"/>
    <x v="10"/>
    <x v="6"/>
    <x v="1"/>
    <n v="730"/>
    <n v="80300"/>
  </r>
  <r>
    <x v="10"/>
    <x v="10"/>
    <x v="7"/>
    <x v="1"/>
    <n v="1199"/>
    <n v="103114"/>
  </r>
  <r>
    <x v="10"/>
    <x v="10"/>
    <x v="8"/>
    <x v="3"/>
    <n v="3004"/>
    <n v="366488"/>
  </r>
  <r>
    <x v="10"/>
    <x v="10"/>
    <x v="9"/>
    <x v="1"/>
    <n v="2793"/>
    <n v="418950"/>
  </r>
  <r>
    <x v="10"/>
    <x v="10"/>
    <x v="10"/>
    <x v="3"/>
    <n v="1452"/>
    <n v="81312"/>
  </r>
  <r>
    <x v="10"/>
    <x v="10"/>
    <x v="11"/>
    <x v="3"/>
    <n v="3651"/>
    <n v="175248"/>
  </r>
  <r>
    <x v="10"/>
    <x v="10"/>
    <x v="12"/>
    <x v="1"/>
    <n v="2367"/>
    <n v="231966"/>
  </r>
  <r>
    <x v="10"/>
    <x v="10"/>
    <x v="13"/>
    <x v="3"/>
    <n v="4729"/>
    <n v="279011"/>
  </r>
  <r>
    <x v="10"/>
    <x v="10"/>
    <x v="14"/>
    <x v="1"/>
    <n v="3067"/>
    <n v="199355"/>
  </r>
  <r>
    <x v="10"/>
    <x v="10"/>
    <x v="15"/>
    <x v="1"/>
    <n v="2495"/>
    <n v="209580"/>
  </r>
  <r>
    <x v="10"/>
    <x v="10"/>
    <x v="16"/>
    <x v="1"/>
    <n v="428"/>
    <n v="63772"/>
  </r>
  <r>
    <x v="10"/>
    <x v="10"/>
    <x v="17"/>
    <x v="1"/>
    <n v="4623"/>
    <n v="670335"/>
  </r>
  <r>
    <x v="10"/>
    <x v="10"/>
    <x v="18"/>
    <x v="2"/>
    <n v="743"/>
    <n v="45323"/>
  </r>
  <r>
    <x v="10"/>
    <x v="10"/>
    <x v="19"/>
    <x v="0"/>
    <n v="1086"/>
    <n v="93396"/>
  </r>
  <r>
    <x v="10"/>
    <x v="10"/>
    <x v="20"/>
    <x v="2"/>
    <n v="1761"/>
    <n v="214842"/>
  </r>
  <r>
    <x v="10"/>
    <x v="10"/>
    <x v="21"/>
    <x v="2"/>
    <n v="3931"/>
    <n v="275170"/>
  </r>
  <r>
    <x v="10"/>
    <x v="10"/>
    <x v="22"/>
    <x v="0"/>
    <n v="996"/>
    <n v="96612"/>
  </r>
  <r>
    <x v="10"/>
    <x v="10"/>
    <x v="23"/>
    <x v="3"/>
    <n v="1670"/>
    <n v="38410"/>
  </r>
  <r>
    <x v="10"/>
    <x v="10"/>
    <x v="24"/>
    <x v="0"/>
    <n v="3207"/>
    <n v="432945"/>
  </r>
  <r>
    <x v="10"/>
    <x v="10"/>
    <x v="25"/>
    <x v="1"/>
    <n v="2953"/>
    <n v="262817"/>
  </r>
  <r>
    <x v="10"/>
    <x v="10"/>
    <x v="26"/>
    <x v="3"/>
    <n v="3312"/>
    <n v="96048"/>
  </r>
  <r>
    <x v="10"/>
    <x v="10"/>
    <x v="27"/>
    <x v="2"/>
    <n v="1007"/>
    <n v="79553"/>
  </r>
  <r>
    <x v="10"/>
    <x v="10"/>
    <x v="28"/>
    <x v="1"/>
    <n v="4065"/>
    <n v="247965"/>
  </r>
  <r>
    <x v="10"/>
    <x v="10"/>
    <x v="29"/>
    <x v="1"/>
    <n v="3757"/>
    <n v="334373"/>
  </r>
  <r>
    <x v="10"/>
    <x v="10"/>
    <x v="30"/>
    <x v="3"/>
    <n v="3253"/>
    <n v="87831"/>
  </r>
  <r>
    <x v="10"/>
    <x v="10"/>
    <x v="31"/>
    <x v="0"/>
    <n v="244"/>
    <n v="21228"/>
  </r>
  <r>
    <x v="10"/>
    <x v="10"/>
    <x v="32"/>
    <x v="3"/>
    <n v="2036"/>
    <n v="152700"/>
  </r>
  <r>
    <x v="10"/>
    <x v="10"/>
    <x v="33"/>
    <x v="3"/>
    <n v="2263"/>
    <n v="298716"/>
  </r>
  <r>
    <x v="10"/>
    <x v="10"/>
    <x v="34"/>
    <x v="0"/>
    <n v="1567"/>
    <n v="125360"/>
  </r>
  <r>
    <x v="10"/>
    <x v="10"/>
    <x v="35"/>
    <x v="2"/>
    <n v="1174"/>
    <n v="83354"/>
  </r>
  <r>
    <x v="10"/>
    <x v="10"/>
    <x v="36"/>
    <x v="3"/>
    <n v="2658"/>
    <n v="77082"/>
  </r>
  <r>
    <x v="10"/>
    <x v="10"/>
    <x v="37"/>
    <x v="2"/>
    <n v="2573"/>
    <n v="156953"/>
  </r>
  <r>
    <x v="10"/>
    <x v="10"/>
    <x v="38"/>
    <x v="3"/>
    <n v="2782"/>
    <n v="314366"/>
  </r>
  <r>
    <x v="10"/>
    <x v="10"/>
    <x v="39"/>
    <x v="2"/>
    <n v="3566"/>
    <n v="192564"/>
  </r>
  <r>
    <x v="10"/>
    <x v="10"/>
    <x v="40"/>
    <x v="3"/>
    <n v="995"/>
    <n v="141290"/>
  </r>
  <r>
    <x v="10"/>
    <x v="10"/>
    <x v="41"/>
    <x v="0"/>
    <n v="3283"/>
    <n v="105056"/>
  </r>
  <r>
    <x v="10"/>
    <x v="10"/>
    <x v="42"/>
    <x v="1"/>
    <n v="4935"/>
    <n v="394800"/>
  </r>
  <r>
    <x v="10"/>
    <x v="10"/>
    <x v="43"/>
    <x v="0"/>
    <n v="2495"/>
    <n v="326845"/>
  </r>
  <r>
    <x v="10"/>
    <x v="10"/>
    <x v="44"/>
    <x v="2"/>
    <n v="366"/>
    <n v="20130"/>
  </r>
  <r>
    <x v="10"/>
    <x v="10"/>
    <x v="45"/>
    <x v="3"/>
    <n v="4998"/>
    <n v="639744"/>
  </r>
  <r>
    <x v="10"/>
    <x v="10"/>
    <x v="46"/>
    <x v="0"/>
    <n v="211"/>
    <n v="6963"/>
  </r>
  <r>
    <x v="10"/>
    <x v="10"/>
    <x v="47"/>
    <x v="2"/>
    <n v="2844"/>
    <n v="258804"/>
  </r>
  <r>
    <x v="10"/>
    <x v="10"/>
    <x v="48"/>
    <x v="0"/>
    <n v="4267"/>
    <n v="482171"/>
  </r>
  <r>
    <x v="10"/>
    <x v="10"/>
    <x v="49"/>
    <x v="0"/>
    <n v="806"/>
    <n v="52390"/>
  </r>
  <r>
    <x v="11"/>
    <x v="11"/>
    <x v="0"/>
    <x v="1"/>
    <n v="186"/>
    <n v="9300"/>
  </r>
  <r>
    <x v="11"/>
    <x v="11"/>
    <x v="1"/>
    <x v="2"/>
    <n v="1859"/>
    <n v="111540"/>
  </r>
  <r>
    <x v="11"/>
    <x v="11"/>
    <x v="2"/>
    <x v="0"/>
    <n v="4115"/>
    <n v="423845"/>
  </r>
  <r>
    <x v="11"/>
    <x v="11"/>
    <x v="3"/>
    <x v="0"/>
    <n v="420"/>
    <n v="61740"/>
  </r>
  <r>
    <x v="11"/>
    <x v="11"/>
    <x v="4"/>
    <x v="3"/>
    <n v="754"/>
    <n v="42224"/>
  </r>
  <r>
    <x v="11"/>
    <x v="11"/>
    <x v="5"/>
    <x v="0"/>
    <n v="1245"/>
    <n v="28635"/>
  </r>
  <r>
    <x v="11"/>
    <x v="11"/>
    <x v="6"/>
    <x v="3"/>
    <n v="316"/>
    <n v="19908"/>
  </r>
  <r>
    <x v="11"/>
    <x v="11"/>
    <x v="7"/>
    <x v="2"/>
    <n v="3147"/>
    <n v="349317"/>
  </r>
  <r>
    <x v="11"/>
    <x v="11"/>
    <x v="8"/>
    <x v="2"/>
    <n v="760"/>
    <n v="68400"/>
  </r>
  <r>
    <x v="11"/>
    <x v="11"/>
    <x v="9"/>
    <x v="2"/>
    <n v="3933"/>
    <n v="287109"/>
  </r>
  <r>
    <x v="11"/>
    <x v="11"/>
    <x v="10"/>
    <x v="1"/>
    <n v="1337"/>
    <n v="46795"/>
  </r>
  <r>
    <x v="11"/>
    <x v="11"/>
    <x v="11"/>
    <x v="1"/>
    <n v="1319"/>
    <n v="162237"/>
  </r>
  <r>
    <x v="11"/>
    <x v="11"/>
    <x v="12"/>
    <x v="2"/>
    <n v="4293"/>
    <n v="231822"/>
  </r>
  <r>
    <x v="11"/>
    <x v="11"/>
    <x v="13"/>
    <x v="0"/>
    <n v="3332"/>
    <n v="246568"/>
  </r>
  <r>
    <x v="11"/>
    <x v="11"/>
    <x v="14"/>
    <x v="0"/>
    <n v="3146"/>
    <n v="213928"/>
  </r>
  <r>
    <x v="11"/>
    <x v="11"/>
    <x v="15"/>
    <x v="0"/>
    <n v="4593"/>
    <n v="486858"/>
  </r>
  <r>
    <x v="11"/>
    <x v="11"/>
    <x v="16"/>
    <x v="1"/>
    <n v="2258"/>
    <n v="225800"/>
  </r>
  <r>
    <x v="11"/>
    <x v="11"/>
    <x v="17"/>
    <x v="1"/>
    <n v="3858"/>
    <n v="119598"/>
  </r>
  <r>
    <x v="11"/>
    <x v="11"/>
    <x v="18"/>
    <x v="0"/>
    <n v="2480"/>
    <n v="124000"/>
  </r>
  <r>
    <x v="11"/>
    <x v="11"/>
    <x v="19"/>
    <x v="1"/>
    <n v="906"/>
    <n v="70668"/>
  </r>
  <r>
    <x v="11"/>
    <x v="11"/>
    <x v="20"/>
    <x v="0"/>
    <n v="2506"/>
    <n v="177926"/>
  </r>
  <r>
    <x v="11"/>
    <x v="11"/>
    <x v="21"/>
    <x v="1"/>
    <n v="3747"/>
    <n v="134892"/>
  </r>
  <r>
    <x v="11"/>
    <x v="11"/>
    <x v="22"/>
    <x v="3"/>
    <n v="1973"/>
    <n v="73001"/>
  </r>
  <r>
    <x v="11"/>
    <x v="11"/>
    <x v="23"/>
    <x v="0"/>
    <n v="3988"/>
    <n v="370884"/>
  </r>
  <r>
    <x v="11"/>
    <x v="11"/>
    <x v="24"/>
    <x v="3"/>
    <n v="2442"/>
    <n v="307692"/>
  </r>
  <r>
    <x v="11"/>
    <x v="11"/>
    <x v="25"/>
    <x v="0"/>
    <n v="2502"/>
    <n v="175140"/>
  </r>
  <r>
    <x v="11"/>
    <x v="11"/>
    <x v="26"/>
    <x v="1"/>
    <n v="3662"/>
    <n v="194086"/>
  </r>
  <r>
    <x v="11"/>
    <x v="11"/>
    <x v="27"/>
    <x v="2"/>
    <n v="1265"/>
    <n v="29095"/>
  </r>
  <r>
    <x v="11"/>
    <x v="11"/>
    <x v="28"/>
    <x v="3"/>
    <n v="3885"/>
    <n v="202020"/>
  </r>
  <r>
    <x v="11"/>
    <x v="11"/>
    <x v="29"/>
    <x v="1"/>
    <n v="1741"/>
    <n v="208920"/>
  </r>
  <r>
    <x v="11"/>
    <x v="11"/>
    <x v="30"/>
    <x v="2"/>
    <n v="2397"/>
    <n v="280449"/>
  </r>
  <r>
    <x v="11"/>
    <x v="11"/>
    <x v="31"/>
    <x v="0"/>
    <n v="1864"/>
    <n v="270280"/>
  </r>
  <r>
    <x v="11"/>
    <x v="11"/>
    <x v="32"/>
    <x v="1"/>
    <n v="200"/>
    <n v="24200"/>
  </r>
  <r>
    <x v="11"/>
    <x v="11"/>
    <x v="33"/>
    <x v="0"/>
    <n v="4320"/>
    <n v="172800"/>
  </r>
  <r>
    <x v="11"/>
    <x v="11"/>
    <x v="34"/>
    <x v="0"/>
    <n v="2435"/>
    <n v="221585"/>
  </r>
  <r>
    <x v="11"/>
    <x v="11"/>
    <x v="35"/>
    <x v="1"/>
    <n v="1305"/>
    <n v="170955"/>
  </r>
  <r>
    <x v="11"/>
    <x v="11"/>
    <x v="36"/>
    <x v="3"/>
    <n v="2812"/>
    <n v="134976"/>
  </r>
  <r>
    <x v="11"/>
    <x v="11"/>
    <x v="37"/>
    <x v="0"/>
    <n v="496"/>
    <n v="16864"/>
  </r>
  <r>
    <x v="11"/>
    <x v="11"/>
    <x v="38"/>
    <x v="3"/>
    <n v="1957"/>
    <n v="60667"/>
  </r>
  <r>
    <x v="11"/>
    <x v="11"/>
    <x v="39"/>
    <x v="3"/>
    <n v="129"/>
    <n v="11610"/>
  </r>
  <r>
    <x v="11"/>
    <x v="11"/>
    <x v="40"/>
    <x v="3"/>
    <n v="3749"/>
    <n v="269928"/>
  </r>
  <r>
    <x v="11"/>
    <x v="11"/>
    <x v="41"/>
    <x v="2"/>
    <n v="2806"/>
    <n v="404064"/>
  </r>
  <r>
    <x v="11"/>
    <x v="11"/>
    <x v="42"/>
    <x v="0"/>
    <n v="1109"/>
    <n v="99810"/>
  </r>
  <r>
    <x v="11"/>
    <x v="11"/>
    <x v="43"/>
    <x v="0"/>
    <n v="4445"/>
    <n v="413385"/>
  </r>
  <r>
    <x v="11"/>
    <x v="11"/>
    <x v="44"/>
    <x v="1"/>
    <n v="1139"/>
    <n v="86564"/>
  </r>
  <r>
    <x v="11"/>
    <x v="11"/>
    <x v="45"/>
    <x v="3"/>
    <n v="2215"/>
    <n v="239220"/>
  </r>
  <r>
    <x v="11"/>
    <x v="11"/>
    <x v="46"/>
    <x v="1"/>
    <n v="2271"/>
    <n v="59046"/>
  </r>
  <r>
    <x v="11"/>
    <x v="11"/>
    <x v="47"/>
    <x v="2"/>
    <n v="3562"/>
    <n v="498680"/>
  </r>
  <r>
    <x v="11"/>
    <x v="11"/>
    <x v="48"/>
    <x v="3"/>
    <n v="1770"/>
    <n v="240720"/>
  </r>
  <r>
    <x v="11"/>
    <x v="11"/>
    <x v="49"/>
    <x v="2"/>
    <n v="4361"/>
    <n v="57565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RPGGEN-001"/>
    <n v="5938"/>
    <n v="810"/>
    <n v="461"/>
    <n v="16"/>
    <n v="922"/>
    <n v="1844"/>
    <x v="0"/>
  </r>
  <r>
    <s v="RPGGEN-002"/>
    <n v="3812"/>
    <n v="3374"/>
    <n v="116"/>
    <n v="16"/>
    <n v="232"/>
    <n v="464"/>
    <x v="1"/>
  </r>
  <r>
    <s v="RPGGEN-003"/>
    <n v="6121"/>
    <n v="996"/>
    <n v="258"/>
    <n v="23"/>
    <n v="516"/>
    <n v="1290"/>
    <x v="0"/>
  </r>
  <r>
    <s v="RPGGEN-004"/>
    <n v="4301"/>
    <n v="1955"/>
    <n v="113"/>
    <n v="14"/>
    <n v="226"/>
    <n v="452"/>
    <x v="1"/>
  </r>
  <r>
    <s v="RPGGEN-005"/>
    <n v="4938"/>
    <n v="2960"/>
    <n v="478"/>
    <n v="30"/>
    <n v="956"/>
    <n v="2868"/>
    <x v="1"/>
  </r>
  <r>
    <s v="RPGGEN-006"/>
    <n v="7923"/>
    <n v="1773"/>
    <n v="275"/>
    <n v="21"/>
    <n v="550"/>
    <n v="1375"/>
    <x v="1"/>
  </r>
  <r>
    <s v="RPGGEN-007"/>
    <n v="3488"/>
    <n v="4656"/>
    <n v="221"/>
    <n v="15"/>
    <n v="442"/>
    <n v="884"/>
    <x v="1"/>
  </r>
  <r>
    <s v="RPGGEN-008"/>
    <n v="3223"/>
    <n v="1485"/>
    <n v="472"/>
    <n v="21"/>
    <n v="944"/>
    <n v="2360"/>
    <x v="0"/>
  </r>
  <r>
    <s v="RPGGEN-009"/>
    <n v="7758"/>
    <n v="3389"/>
    <n v="125"/>
    <n v="12"/>
    <n v="250"/>
    <n v="375"/>
    <x v="1"/>
  </r>
  <r>
    <s v="RPGGEN-010"/>
    <n v="5739"/>
    <n v="4527"/>
    <n v="214"/>
    <n v="28"/>
    <n v="428"/>
    <n v="1284"/>
    <x v="1"/>
  </r>
  <r>
    <s v="RPGGEN-011"/>
    <n v="4609"/>
    <n v="2310"/>
    <n v="500"/>
    <n v="16"/>
    <n v="1000"/>
    <n v="2000"/>
    <x v="1"/>
  </r>
  <r>
    <s v="RPGGEN-012"/>
    <n v="3836"/>
    <n v="1700"/>
    <n v="145"/>
    <n v="15"/>
    <n v="290"/>
    <n v="580"/>
    <x v="1"/>
  </r>
  <r>
    <s v="RPGGEN-013"/>
    <n v="6461"/>
    <n v="1538"/>
    <n v="344"/>
    <n v="14"/>
    <n v="688"/>
    <n v="1376"/>
    <x v="1"/>
  </r>
  <r>
    <s v="RPGGEN-014"/>
    <n v="7901"/>
    <n v="4724"/>
    <n v="300"/>
    <n v="21"/>
    <n v="600"/>
    <n v="1500"/>
    <x v="1"/>
  </r>
  <r>
    <s v="RPGGEN-015"/>
    <n v="4008"/>
    <n v="4268"/>
    <n v="461"/>
    <n v="8"/>
    <n v="922"/>
    <n v="1383"/>
    <x v="1"/>
  </r>
  <r>
    <s v="RPGGEN-016"/>
    <n v="7709"/>
    <n v="158"/>
    <n v="143"/>
    <n v="22"/>
    <n v="286"/>
    <n v="715"/>
    <x v="0"/>
  </r>
  <r>
    <s v="RPGGEN-017"/>
    <n v="8865"/>
    <n v="4966"/>
    <n v="465"/>
    <n v="29"/>
    <n v="930"/>
    <n v="2790"/>
    <x v="1"/>
  </r>
  <r>
    <s v="RPGGEN-018"/>
    <n v="9081"/>
    <n v="4472"/>
    <n v="300"/>
    <n v="18"/>
    <n v="600"/>
    <n v="1200"/>
    <x v="1"/>
  </r>
  <r>
    <s v="RPGGEN-019"/>
    <n v="5642"/>
    <n v="1652"/>
    <n v="218"/>
    <n v="7"/>
    <n v="436"/>
    <n v="654"/>
    <x v="1"/>
  </r>
  <r>
    <s v="RPGGEN-020"/>
    <n v="5136"/>
    <n v="2017"/>
    <n v="153"/>
    <n v="27"/>
    <n v="306"/>
    <n v="765"/>
    <x v="1"/>
  </r>
  <r>
    <s v="RPGGEN-021"/>
    <n v="9568"/>
    <n v="874"/>
    <n v="216"/>
    <n v="23"/>
    <n v="432"/>
    <n v="1080"/>
    <x v="0"/>
  </r>
  <r>
    <s v="RPGGEN-022"/>
    <n v="9590"/>
    <n v="3446"/>
    <n v="468"/>
    <n v="26"/>
    <n v="936"/>
    <n v="2340"/>
    <x v="1"/>
  </r>
  <r>
    <s v="RPGGEN-023"/>
    <n v="3125"/>
    <n v="2545"/>
    <n v="107"/>
    <n v="19"/>
    <n v="214"/>
    <n v="428"/>
    <x v="1"/>
  </r>
  <r>
    <s v="RPGGEN-024"/>
    <n v="7697"/>
    <n v="3576"/>
    <n v="377"/>
    <n v="11"/>
    <n v="754"/>
    <n v="1131"/>
    <x v="1"/>
  </r>
  <r>
    <s v="RPGGEN-025"/>
    <n v="9793"/>
    <n v="2264"/>
    <n v="64"/>
    <n v="25"/>
    <n v="128"/>
    <n v="320"/>
    <x v="1"/>
  </r>
  <r>
    <s v="RPGGEN-026"/>
    <n v="9309"/>
    <n v="3986"/>
    <n v="190"/>
    <n v="20"/>
    <n v="380"/>
    <n v="760"/>
    <x v="1"/>
  </r>
  <r>
    <s v="RPGGEN-027"/>
    <n v="5460"/>
    <n v="4720"/>
    <n v="268"/>
    <n v="9"/>
    <n v="536"/>
    <n v="804"/>
    <x v="1"/>
  </r>
  <r>
    <s v="RPGGEN-028"/>
    <n v="8096"/>
    <n v="828"/>
    <n v="435"/>
    <n v="28"/>
    <n v="870"/>
    <n v="2610"/>
    <x v="0"/>
  </r>
  <r>
    <s v="RPGGEN-029"/>
    <n v="3479"/>
    <n v="1125"/>
    <n v="463"/>
    <n v="23"/>
    <n v="926"/>
    <n v="2315"/>
    <x v="0"/>
  </r>
  <r>
    <s v="RPGGEN-030"/>
    <n v="4295"/>
    <n v="4147"/>
    <n v="362"/>
    <n v="9"/>
    <n v="724"/>
    <n v="1086"/>
    <x v="1"/>
  </r>
  <r>
    <s v="RPGGEN-031"/>
    <n v="9451"/>
    <n v="2022"/>
    <n v="166"/>
    <n v="14"/>
    <n v="332"/>
    <n v="664"/>
    <x v="1"/>
  </r>
  <r>
    <s v="RPGGEN-032"/>
    <n v="2379"/>
    <n v="4347"/>
    <n v="416"/>
    <n v="14"/>
    <n v="832"/>
    <n v="1664"/>
    <x v="1"/>
  </r>
  <r>
    <s v="RPGGEN-033"/>
    <n v="9843"/>
    <n v="1754"/>
    <n v="325"/>
    <n v="14"/>
    <n v="650"/>
    <n v="1300"/>
    <x v="1"/>
  </r>
  <r>
    <s v="RPGGEN-034"/>
    <n v="2697"/>
    <n v="4691"/>
    <n v="313"/>
    <n v="18"/>
    <n v="626"/>
    <n v="1252"/>
    <x v="1"/>
  </r>
  <r>
    <s v="RPGGEN-035"/>
    <n v="3591"/>
    <n v="3474"/>
    <n v="466"/>
    <n v="20"/>
    <n v="932"/>
    <n v="1864"/>
    <x v="1"/>
  </r>
  <r>
    <s v="RPGGEN-036"/>
    <n v="8664"/>
    <n v="4084"/>
    <n v="417"/>
    <n v="16"/>
    <n v="834"/>
    <n v="1668"/>
    <x v="1"/>
  </r>
  <r>
    <s v="RPGGEN-037"/>
    <n v="9853"/>
    <n v="830"/>
    <n v="235"/>
    <n v="20"/>
    <n v="470"/>
    <n v="940"/>
    <x v="0"/>
  </r>
  <r>
    <s v="RPGGEN-038"/>
    <n v="9604"/>
    <n v="4084"/>
    <n v="53"/>
    <n v="24"/>
    <n v="106"/>
    <n v="265"/>
    <x v="1"/>
  </r>
  <r>
    <s v="RPGGEN-039"/>
    <n v="9253"/>
    <n v="4685"/>
    <n v="493"/>
    <n v="15"/>
    <n v="986"/>
    <n v="1972"/>
    <x v="1"/>
  </r>
  <r>
    <s v="RPGGEN-040"/>
    <n v="7878"/>
    <n v="2516"/>
    <n v="332"/>
    <n v="16"/>
    <n v="664"/>
    <n v="1328"/>
    <x v="1"/>
  </r>
  <r>
    <s v="RPGGEN-041"/>
    <n v="2260"/>
    <n v="4879"/>
    <n v="135"/>
    <n v="25"/>
    <n v="270"/>
    <n v="675"/>
    <x v="1"/>
  </r>
  <r>
    <s v="RPGGEN-042"/>
    <n v="6282"/>
    <n v="4670"/>
    <n v="237"/>
    <n v="13"/>
    <n v="474"/>
    <n v="711"/>
    <x v="1"/>
  </r>
  <r>
    <s v="RPGGEN-043"/>
    <n v="2966"/>
    <n v="2544"/>
    <n v="229"/>
    <n v="22"/>
    <n v="458"/>
    <n v="1145"/>
    <x v="1"/>
  </r>
  <r>
    <s v="RPGGEN-044"/>
    <n v="2801"/>
    <n v="610"/>
    <n v="272"/>
    <n v="8"/>
    <n v="544"/>
    <n v="816"/>
    <x v="0"/>
  </r>
  <r>
    <s v="RPGGEN-045"/>
    <n v="2190"/>
    <n v="1041"/>
    <n v="273"/>
    <n v="21"/>
    <n v="546"/>
    <n v="1365"/>
    <x v="0"/>
  </r>
  <r>
    <s v="RPGGEN-046"/>
    <n v="3980"/>
    <n v="1404"/>
    <n v="218"/>
    <n v="7"/>
    <n v="436"/>
    <n v="654"/>
    <x v="1"/>
  </r>
  <r>
    <s v="RPGGEN-047"/>
    <n v="5163"/>
    <n v="3281"/>
    <n v="284"/>
    <n v="9"/>
    <n v="568"/>
    <n v="852"/>
    <x v="1"/>
  </r>
  <r>
    <s v="RPGGEN-048"/>
    <n v="5799"/>
    <n v="357"/>
    <n v="409"/>
    <n v="28"/>
    <n v="818"/>
    <n v="2454"/>
    <x v="0"/>
  </r>
  <r>
    <s v="RPGGEN-049"/>
    <n v="3852"/>
    <n v="265"/>
    <n v="413"/>
    <n v="18"/>
    <n v="826"/>
    <n v="1652"/>
    <x v="0"/>
  </r>
  <r>
    <s v="RPGGEN-050"/>
    <n v="6785"/>
    <n v="3594"/>
    <n v="291"/>
    <n v="29"/>
    <n v="582"/>
    <n v="1746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RPGGEN-001"/>
    <s v="Submitted"/>
    <s v="Changes Requested"/>
    <s v="Approved"/>
    <s v="Signed Off"/>
    <x v="0"/>
  </r>
  <r>
    <s v="RPGGEN-002"/>
    <s v="Submitted"/>
    <s v="In Review"/>
    <s v="Pending"/>
    <s v="Pending"/>
    <x v="1"/>
  </r>
  <r>
    <s v="RPGGEN-003"/>
    <s v="Submitted"/>
    <s v="Changes Requested"/>
    <s v="Pending"/>
    <s v="Pending"/>
    <x v="2"/>
  </r>
  <r>
    <s v="RPGGEN-004"/>
    <s v="Pending"/>
    <s v="Changes Requested"/>
    <s v="Approved"/>
    <s v="Pending"/>
    <x v="3"/>
  </r>
  <r>
    <s v="RPGGEN-005"/>
    <s v="Submitted"/>
    <s v="Changes Requested"/>
    <s v="Approved"/>
    <s v="Pending"/>
    <x v="2"/>
  </r>
  <r>
    <s v="RPGGEN-006"/>
    <s v="Submitted"/>
    <s v="In Review"/>
    <s v="Pending"/>
    <s v="Signed Off"/>
    <x v="0"/>
  </r>
  <r>
    <s v="RPGGEN-007"/>
    <s v="Pending"/>
    <s v="In Review"/>
    <s v="Approved"/>
    <s v="Pending"/>
    <x v="3"/>
  </r>
  <r>
    <s v="RPGGEN-008"/>
    <s v="Pending"/>
    <s v="Changes Requested"/>
    <s v="Pending"/>
    <s v="Pending"/>
    <x v="3"/>
  </r>
  <r>
    <s v="RPGGEN-009"/>
    <s v="Submitted"/>
    <s v="Approved"/>
    <s v="Approved"/>
    <s v="Pending"/>
    <x v="4"/>
  </r>
  <r>
    <s v="RPGGEN-010"/>
    <s v="Submitted"/>
    <s v="In Review"/>
    <s v="Approved"/>
    <s v="Signed Off"/>
    <x v="0"/>
  </r>
  <r>
    <s v="RPGGEN-011"/>
    <s v="Pending"/>
    <s v="Approved"/>
    <s v="Approved"/>
    <s v="Pending"/>
    <x v="3"/>
  </r>
  <r>
    <s v="RPGGEN-012"/>
    <s v="Pending"/>
    <s v="Approved"/>
    <s v="Pending"/>
    <s v="Pending"/>
    <x v="3"/>
  </r>
  <r>
    <s v="RPGGEN-013"/>
    <s v="Pending"/>
    <s v="Changes Requested"/>
    <s v="Approved"/>
    <s v="Signed Off"/>
    <x v="0"/>
  </r>
  <r>
    <s v="RPGGEN-014"/>
    <s v="Pending"/>
    <s v="In Review"/>
    <s v="Pending"/>
    <s v="Pending"/>
    <x v="3"/>
  </r>
  <r>
    <s v="RPGGEN-015"/>
    <s v="Pending"/>
    <s v="Approved"/>
    <s v="Pending"/>
    <s v="Signed Off"/>
    <x v="0"/>
  </r>
  <r>
    <s v="RPGGEN-016"/>
    <s v="Submitted"/>
    <s v="Approved"/>
    <s v="Pending"/>
    <s v="Pending"/>
    <x v="5"/>
  </r>
  <r>
    <s v="RPGGEN-017"/>
    <s v="Submitted"/>
    <s v="Changes Requested"/>
    <s v="Pending"/>
    <s v="Pending"/>
    <x v="2"/>
  </r>
  <r>
    <s v="RPGGEN-018"/>
    <s v="Pending"/>
    <s v="In Review"/>
    <s v="Pending"/>
    <s v="Signed Off"/>
    <x v="0"/>
  </r>
  <r>
    <s v="RPGGEN-019"/>
    <s v="Submitted"/>
    <s v="In Review"/>
    <s v="Pending"/>
    <s v="Pending"/>
    <x v="1"/>
  </r>
  <r>
    <s v="RPGGEN-020"/>
    <s v="Submitted"/>
    <s v="In Review"/>
    <s v="Pending"/>
    <s v="Signed Off"/>
    <x v="0"/>
  </r>
  <r>
    <s v="RPGGEN-021"/>
    <s v="Submitted"/>
    <s v="In Review"/>
    <s v="Pending"/>
    <s v="Signed Off"/>
    <x v="0"/>
  </r>
  <r>
    <s v="RPGGEN-022"/>
    <s v="Submitted"/>
    <s v="Changes Requested"/>
    <s v="Approved"/>
    <s v="Pending"/>
    <x v="2"/>
  </r>
  <r>
    <s v="RPGGEN-023"/>
    <s v="Submitted"/>
    <s v="In Review"/>
    <s v="Pending"/>
    <s v="Signed Off"/>
    <x v="0"/>
  </r>
  <r>
    <s v="RPGGEN-024"/>
    <s v="Submitted"/>
    <s v="In Review"/>
    <s v="Pending"/>
    <s v="Pending"/>
    <x v="1"/>
  </r>
  <r>
    <s v="RPGGEN-025"/>
    <s v="Submitted"/>
    <s v="In Review"/>
    <s v="Approved"/>
    <s v="Pending"/>
    <x v="1"/>
  </r>
  <r>
    <s v="RPGGEN-026"/>
    <s v="Pending"/>
    <s v="In Review"/>
    <s v="Pending"/>
    <s v="Pending"/>
    <x v="3"/>
  </r>
  <r>
    <s v="RPGGEN-027"/>
    <s v="Pending"/>
    <s v="In Review"/>
    <s v="Approved"/>
    <s v="Signed Off"/>
    <x v="0"/>
  </r>
  <r>
    <s v="RPGGEN-028"/>
    <s v="Pending"/>
    <s v="In Review"/>
    <s v="Approved"/>
    <s v="Pending"/>
    <x v="3"/>
  </r>
  <r>
    <s v="RPGGEN-029"/>
    <s v="Submitted"/>
    <s v="Changes Requested"/>
    <s v="Approved"/>
    <s v="Pending"/>
    <x v="2"/>
  </r>
  <r>
    <s v="RPGGEN-030"/>
    <s v="Submitted"/>
    <s v="In Review"/>
    <s v="Approved"/>
    <s v="Pending"/>
    <x v="1"/>
  </r>
  <r>
    <s v="RPGGEN-031"/>
    <s v="Submitted"/>
    <s v="Approved"/>
    <s v="Approved"/>
    <s v="Signed Off"/>
    <x v="0"/>
  </r>
  <r>
    <s v="RPGGEN-032"/>
    <s v="Submitted"/>
    <s v="Changes Requested"/>
    <s v="Approved"/>
    <s v="Signed Off"/>
    <x v="0"/>
  </r>
  <r>
    <s v="RPGGEN-033"/>
    <s v="Submitted"/>
    <s v="In Review"/>
    <s v="Pending"/>
    <s v="Signed Off"/>
    <x v="0"/>
  </r>
  <r>
    <s v="RPGGEN-034"/>
    <s v="Submitted"/>
    <s v="Approved"/>
    <s v="Approved"/>
    <s v="Signed Off"/>
    <x v="0"/>
  </r>
  <r>
    <s v="RPGGEN-035"/>
    <s v="Pending"/>
    <s v="Changes Requested"/>
    <s v="Approved"/>
    <s v="Signed Off"/>
    <x v="0"/>
  </r>
  <r>
    <s v="RPGGEN-036"/>
    <s v="Pending"/>
    <s v="Changes Requested"/>
    <s v="Approved"/>
    <s v="Pending"/>
    <x v="3"/>
  </r>
  <r>
    <s v="RPGGEN-037"/>
    <s v="Pending"/>
    <s v="In Review"/>
    <s v="Pending"/>
    <s v="Signed Off"/>
    <x v="0"/>
  </r>
  <r>
    <s v="RPGGEN-038"/>
    <s v="Pending"/>
    <s v="Changes Requested"/>
    <s v="Pending"/>
    <s v="Signed Off"/>
    <x v="0"/>
  </r>
  <r>
    <s v="RPGGEN-039"/>
    <s v="Submitted"/>
    <s v="Changes Requested"/>
    <s v="Pending"/>
    <s v="Pending"/>
    <x v="2"/>
  </r>
  <r>
    <s v="RPGGEN-040"/>
    <s v="Pending"/>
    <s v="Changes Requested"/>
    <s v="Approved"/>
    <s v="Pending"/>
    <x v="3"/>
  </r>
  <r>
    <s v="RPGGEN-041"/>
    <s v="Pending"/>
    <s v="Approved"/>
    <s v="Pending"/>
    <s v="Signed Off"/>
    <x v="0"/>
  </r>
  <r>
    <s v="RPGGEN-042"/>
    <s v="Pending"/>
    <s v="Approved"/>
    <s v="Pending"/>
    <s v="Signed Off"/>
    <x v="0"/>
  </r>
  <r>
    <s v="RPGGEN-043"/>
    <s v="Pending"/>
    <s v="In Review"/>
    <s v="Pending"/>
    <s v="Pending"/>
    <x v="3"/>
  </r>
  <r>
    <s v="RPGGEN-044"/>
    <s v="Pending"/>
    <s v="In Review"/>
    <s v="Approved"/>
    <s v="Pending"/>
    <x v="3"/>
  </r>
  <r>
    <s v="RPGGEN-045"/>
    <s v="Pending"/>
    <s v="Approved"/>
    <s v="Approved"/>
    <s v="Signed Off"/>
    <x v="0"/>
  </r>
  <r>
    <s v="RPGGEN-046"/>
    <s v="Submitted"/>
    <s v="Changes Requested"/>
    <s v="Approved"/>
    <s v="Signed Off"/>
    <x v="0"/>
  </r>
  <r>
    <s v="RPGGEN-047"/>
    <s v="Pending"/>
    <s v="Approved"/>
    <s v="Approved"/>
    <s v="Signed Off"/>
    <x v="0"/>
  </r>
  <r>
    <s v="RPGGEN-048"/>
    <s v="Submitted"/>
    <s v="Changes Requested"/>
    <s v="Approved"/>
    <s v="Pending"/>
    <x v="2"/>
  </r>
  <r>
    <s v="RPGGEN-049"/>
    <s v="Submitted"/>
    <s v="Approved"/>
    <s v="Pending"/>
    <s v="Pending"/>
    <x v="5"/>
  </r>
  <r>
    <s v="RPGGEN-050"/>
    <s v="Submitted"/>
    <s v="In Review"/>
    <s v="Approved"/>
    <s v="Pending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EBE67-58CC-4C0E-8A73-4130E3AF108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12:I15" firstHeaderRow="1" firstDataRow="1" firstDataCol="1"/>
  <pivotFields count="10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Produc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87E59-0C9E-4C68-9B96-023F837A0006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23:I28" firstHeaderRow="1" firstDataRow="1" firstDataCol="1"/>
  <pivotFields count="10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Count of Produc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7AB86-91B0-43BB-B75D-AB462A02B815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Region">
  <location ref="C5:D10" firstHeaderRow="1" firstDataRow="1" firstDataCol="1"/>
  <pivotFields count="6">
    <pivotField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3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Revenue_INR" fld="5" baseField="0" baseItem="0" numFmtId="165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DACD2-EE79-47B5-BCCE-354613BAB760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 ID" colHeaderCaption="Region">
  <location ref="F5:K57" firstHeaderRow="1" firstDataRow="2" firstDataCol="1"/>
  <pivotFields count="6">
    <pivotField showAll="0"/>
    <pivotField showAll="0"/>
    <pivotField axis="axisRow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dataField="1" showAll="0"/>
  </pivotFields>
  <rowFields count="1">
    <field x="2"/>
  </rowFields>
  <rowItems count="51">
    <i>
      <x v="10"/>
    </i>
    <i>
      <x v="48"/>
    </i>
    <i>
      <x v="3"/>
    </i>
    <i>
      <x v="45"/>
    </i>
    <i>
      <x v="24"/>
    </i>
    <i>
      <x v="8"/>
    </i>
    <i>
      <x v="49"/>
    </i>
    <i>
      <x v="21"/>
    </i>
    <i>
      <x v="9"/>
    </i>
    <i>
      <x v="25"/>
    </i>
    <i>
      <x/>
    </i>
    <i>
      <x v="44"/>
    </i>
    <i>
      <x v="47"/>
    </i>
    <i>
      <x v="23"/>
    </i>
    <i>
      <x v="38"/>
    </i>
    <i>
      <x v="2"/>
    </i>
    <i>
      <x v="33"/>
    </i>
    <i>
      <x v="41"/>
    </i>
    <i>
      <x v="26"/>
    </i>
    <i>
      <x v="14"/>
    </i>
    <i>
      <x v="17"/>
    </i>
    <i>
      <x v="4"/>
    </i>
    <i>
      <x v="40"/>
    </i>
    <i>
      <x v="27"/>
    </i>
    <i>
      <x v="11"/>
    </i>
    <i>
      <x v="42"/>
    </i>
    <i>
      <x v="28"/>
    </i>
    <i>
      <x v="31"/>
    </i>
    <i>
      <x v="16"/>
    </i>
    <i>
      <x v="1"/>
    </i>
    <i>
      <x v="22"/>
    </i>
    <i>
      <x v="30"/>
    </i>
    <i>
      <x v="32"/>
    </i>
    <i>
      <x v="20"/>
    </i>
    <i>
      <x v="13"/>
    </i>
    <i>
      <x v="5"/>
    </i>
    <i>
      <x v="29"/>
    </i>
    <i>
      <x v="35"/>
    </i>
    <i>
      <x v="6"/>
    </i>
    <i>
      <x v="39"/>
    </i>
    <i>
      <x v="19"/>
    </i>
    <i>
      <x v="15"/>
    </i>
    <i>
      <x v="18"/>
    </i>
    <i>
      <x v="43"/>
    </i>
    <i>
      <x v="37"/>
    </i>
    <i>
      <x v="36"/>
    </i>
    <i>
      <x v="34"/>
    </i>
    <i>
      <x v="7"/>
    </i>
    <i>
      <x v="46"/>
    </i>
    <i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_INR" fld="5" baseField="0" baseItem="0" numFmtId="165"/>
  </dataFields>
  <formats count="1">
    <format dxfId="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C0F30-D27E-4B99-9ACC-0908B4C236E0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Month">
  <location ref="C27:D40" firstHeaderRow="1" firstDataRow="1" firstDataCol="1"/>
  <pivotFields count="6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_INR" fld="5" baseField="0" baseItem="0" numFmtId="165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C7C7B-CB03-4190-9D80-D5F4F0240EA0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:C7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Produc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66FC3-3277-45F5-8CE9-F32EC679A227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rtwork Stage">
  <location ref="B4:C11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 sortType="ascending">
      <items count="7">
        <item x="4"/>
        <item x="0"/>
        <item x="5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7">
    <i>
      <x/>
    </i>
    <i>
      <x v="2"/>
    </i>
    <i>
      <x v="5"/>
    </i>
    <i>
      <x v="3"/>
    </i>
    <i>
      <x v="4"/>
    </i>
    <i>
      <x v="1"/>
    </i>
    <i t="grand">
      <x/>
    </i>
  </rowItems>
  <colItems count="1">
    <i/>
  </colItems>
  <dataFields count="1">
    <dataField name="Count of Produc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3E012-923C-4677-900A-821A8EDC73C8}" name="Table1" displayName="Table1" ref="A1:J51" totalsRowShown="0" headerRowDxfId="25">
  <autoFilter ref="A1:J51" xr:uid="{AAE3E012-923C-4677-900A-821A8EDC73C8}"/>
  <sortState xmlns:xlrd2="http://schemas.microsoft.com/office/spreadsheetml/2017/richdata2" ref="A2:J51">
    <sortCondition ref="A1:A51"/>
  </sortState>
  <tableColumns count="10">
    <tableColumn id="1" xr3:uid="{764F121A-97F6-483E-B0CB-C6A45F15AEA1}" name="Product_ID"/>
    <tableColumn id="2" xr3:uid="{4A968FBC-2E4A-436B-A919-648E3EE9CCFD}" name="Product_Name"/>
    <tableColumn id="3" xr3:uid="{FD5FCD84-F0B8-4BA8-BC48-3729DAB34F93}" name="Category"/>
    <tableColumn id="4" xr3:uid="{A1356C04-5D8D-4917-BB5C-C724CD59F312}" name="Launch_Date" dataDxfId="24"/>
    <tableColumn id="5" xr3:uid="{CAF83ECD-EF75-4B95-A1AA-891DA9FD229A}" name="Region"/>
    <tableColumn id="6" xr3:uid="{752B1B83-D503-43A0-BE71-435CC8D6B4E4}" name="Approval_Status"/>
    <tableColumn id="7" xr3:uid="{C95032D2-6C14-4ABB-9849-734866E5ACE4}" name="Artwork_Status"/>
    <tableColumn id="8" xr3:uid="{7E6C0259-E31B-4AF5-A7BB-3DBFAFB1EA23}" name="Launch_Status"/>
    <tableColumn id="9" xr3:uid="{3ECF5685-063C-4443-8401-604CC8E21C78}" name="Launch_Blocker" dataDxfId="23">
      <calculatedColumnFormula>IF(AND(F2="Approved",G2="Approved"),"Ready","Blocked")</calculatedColumnFormula>
    </tableColumn>
    <tableColumn id="10" xr3:uid="{A5E1E077-89AC-4B59-86D6-6463795C1369}" name="Blocker_Reason" dataDxfId="22">
      <calculatedColumnFormula>IF(AND(F2="Approved",G2="Approved"),"Ready", IF(AND(F2&lt;&gt;"Approved",G2="Approved"),"Regulatory Delay", IF(AND(F2="Approved",G2&lt;&gt;"Approved"),"Artwork Delay","Multiple Issues")))</calculatedColumnFormula>
    </tableColumn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0AB8CA-D9CD-4070-AAE7-B8B299829839}" name="Table5" displayName="Table5" ref="H4:I8" totalsRowShown="0" headerRowDxfId="21">
  <tableColumns count="2">
    <tableColumn id="1" xr3:uid="{4012737C-7ABF-441F-9AC0-5DD0C296F7DC}" name="Launch_Status"/>
    <tableColumn id="2" xr3:uid="{216A0E15-5E37-4D8E-BEDD-06A092DCD7B8}" name="Count"/>
  </tableColumns>
  <tableStyleInfo name="TableStyleMedium9" showFirstColumn="1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045956-8EF9-413B-ACF4-AA8894B4C900}" name="Table6" displayName="Table6" ref="B4:C8" totalsRowShown="0" headerRowDxfId="20" tableBorderDxfId="19">
  <tableColumns count="2">
    <tableColumn id="1" xr3:uid="{51A0696F-5CB7-4EC4-A8F5-1A7A39007FE5}" name="Approval_Status" dataDxfId="18"/>
    <tableColumn id="2" xr3:uid="{9DE5761D-9C0F-4E50-8459-4526FD04C608}" name="Count"/>
  </tableColumns>
  <tableStyleInfo name="TableStyleMedium9" showFirstColumn="1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D66B26-B909-491E-87D2-9ED358232336}" name="Table8" displayName="Table8" ref="E4:F8" totalsRowShown="0" headerRowDxfId="17" headerRowBorderDxfId="16" tableBorderDxfId="15">
  <tableColumns count="2">
    <tableColumn id="1" xr3:uid="{F05417BF-29B5-41F6-9F79-41D6A264176B}" name="Artwork_Status" dataDxfId="14"/>
    <tableColumn id="2" xr3:uid="{F3347541-6BD5-4B48-AD9A-F6F958D00DD6}" name="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4C0F8B-90B8-4813-A0CB-73594C173F7E}" name="Table2" displayName="Table2" ref="A1:F601" totalsRowShown="0">
  <autoFilter ref="A1:F601" xr:uid="{3A4C0F8B-90B8-4813-A0CB-73594C173F7E}"/>
  <tableColumns count="6">
    <tableColumn id="1" xr3:uid="{CF7F65C7-2356-456E-8349-D61640636555}" name="Month"/>
    <tableColumn id="7" xr3:uid="{F4D3574C-3BC6-44EC-9B85-74958A408F58}" name="Month Name" dataDxfId="13">
      <calculatedColumnFormula>CHOOSE(Table2[[#This Row],[Month]], "Jan","Feb","Mar","Apr","May","Jun","Jul","Aug","Sep","Oct","Nov","Dec")</calculatedColumnFormula>
    </tableColumn>
    <tableColumn id="2" xr3:uid="{5BF278EC-0C15-4A08-9087-6D70C55F8FF1}" name="Product_ID"/>
    <tableColumn id="3" xr3:uid="{23C7FBB8-24C9-49D7-9A5E-0DEB732935D5}" name="Region"/>
    <tableColumn id="4" xr3:uid="{EF4FC071-99A3-4870-8C05-2194E2AA8C09}" name="Units_Sold"/>
    <tableColumn id="5" xr3:uid="{CF9DE4C3-F715-49CF-AE82-DD18E5612738}" name="Revenue_INR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3BDBAB-3D60-400B-A2EB-5F0A0468BF5E}" name="Table3" displayName="Table3" ref="A1:H51" totalsRowShown="0">
  <autoFilter ref="A1:H51" xr:uid="{653BDBAB-3D60-400B-A2EB-5F0A0468BF5E}"/>
  <tableColumns count="8">
    <tableColumn id="1" xr3:uid="{32CD535B-4646-407C-BC4A-8DF7FD234BF3}" name="Product_ID"/>
    <tableColumn id="2" xr3:uid="{E9599E2C-CCBD-4150-A60C-4E053C7BE97E}" name="Opening_Stock"/>
    <tableColumn id="3" xr3:uid="{DB13BC37-09F7-4A75-924A-0ECACF5BE05D}" name="Current_Stock"/>
    <tableColumn id="4" xr3:uid="{5C966ADD-F7A5-47E6-A14E-5078188A9F4C}" name="Weekly_Demand"/>
    <tableColumn id="5" xr3:uid="{2CEC3C75-D23D-4117-BF86-104F9ED7C30E}" name="Lead_Time_Days"/>
    <tableColumn id="6" xr3:uid="{E0CD3910-4A54-46A6-AE21-7AF799BFFFF4}" name="Safety_Stock"/>
    <tableColumn id="7" xr3:uid="{8B75451D-EE1E-4084-A640-37D8FAC3C37D}" name="Reorder_Point"/>
    <tableColumn id="8" xr3:uid="{071D5693-7364-4FCC-BA56-DC60C51A61E7}" name="Reorder_Status" dataDxfId="6">
      <calculatedColumnFormula>IF(Table3[[#This Row],[Current_Stock]]&lt;=Table3[[#This Row],[Reorder_Point]],"Reorder Required","Stock Sufficient")</calculatedColumnFormula>
    </tableColumn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851F2E-6594-4BBA-A40C-7D8AD26C82E7}" name="Table4" displayName="Table4" ref="A1:F51" totalsRowShown="0">
  <autoFilter ref="A1:F51" xr:uid="{43851F2E-6594-4BBA-A40C-7D8AD26C82E7}"/>
  <tableColumns count="6">
    <tableColumn id="1" xr3:uid="{31ED41D3-CDDF-410B-8155-18B04701B7AC}" name="Product_ID"/>
    <tableColumn id="2" xr3:uid="{841AA292-2BC2-4E98-B85B-C6BAC0B6BA19}" name="Artwork_Submission"/>
    <tableColumn id="3" xr3:uid="{A3712902-66C2-4EBE-9CEC-4D0FB8198EFA}" name="Review_Status"/>
    <tableColumn id="4" xr3:uid="{0A3E1707-D563-4EC2-9E98-E7392F0F804D}" name="Regulatory_Check"/>
    <tableColumn id="5" xr3:uid="{F1A2D8D3-E65D-44BC-81E5-53152865F885}" name="Final_Signoff"/>
    <tableColumn id="7" xr3:uid="{B73E5E8E-F425-446F-A8BA-A896AA7FD1AB}" name="Stage" dataDxfId="5">
      <calculatedColumnFormula>IF(E2="Signed Off","Complete",
IF(B2="Pending","Submission Pending",
IF(C2="Changes Requested","Rework Required",
IF(C2="In Review","Under Review",
IF(D2="Pending","Regulatory Review",
"Awaiting Final Sign-off")))))</calculatedColumnFormula>
    </tableColumn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K10" sqref="K10"/>
    </sheetView>
  </sheetViews>
  <sheetFormatPr defaultRowHeight="14.5" x14ac:dyDescent="0.35"/>
  <cols>
    <col min="1" max="1" width="12.26953125" customWidth="1"/>
    <col min="2" max="2" width="16.6328125" bestFit="1" customWidth="1"/>
    <col min="3" max="3" width="10.26953125" customWidth="1"/>
    <col min="4" max="4" width="13.7265625" customWidth="1"/>
    <col min="6" max="6" width="16.6328125" customWidth="1"/>
    <col min="7" max="7" width="16" customWidth="1"/>
    <col min="8" max="8" width="15" customWidth="1"/>
    <col min="9" max="9" width="16.26953125" bestFit="1" customWidth="1"/>
    <col min="10" max="10" width="16.453125" bestFit="1" customWidth="1"/>
  </cols>
  <sheetData>
    <row r="1" spans="1:10" s="8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147</v>
      </c>
      <c r="J1" s="7" t="s">
        <v>156</v>
      </c>
    </row>
    <row r="2" spans="1:10" x14ac:dyDescent="0.35">
      <c r="A2" t="s">
        <v>8</v>
      </c>
      <c r="B2" t="s">
        <v>9</v>
      </c>
      <c r="C2" t="s">
        <v>10</v>
      </c>
      <c r="D2" s="1">
        <v>46283</v>
      </c>
      <c r="E2" t="s">
        <v>11</v>
      </c>
      <c r="F2" t="s">
        <v>12</v>
      </c>
      <c r="G2" t="s">
        <v>13</v>
      </c>
      <c r="H2" t="s">
        <v>14</v>
      </c>
      <c r="I2" t="str">
        <f t="shared" ref="I2:I33" si="0">IF(AND(F2="Approved",G2="Approved"),"Ready","Blocked")</f>
        <v>Blocked</v>
      </c>
      <c r="J2" t="str">
        <f t="shared" ref="J2:J33" si="1">IF(AND(F2="Approved",G2="Approved"),"Ready", IF(AND(F2&lt;&gt;"Approved",G2="Approved"),"Regulatory Delay", IF(AND(F2="Approved",G2&lt;&gt;"Approved"),"Artwork Delay","Multiple Issues")))</f>
        <v>Multiple Issues</v>
      </c>
    </row>
    <row r="3" spans="1:10" x14ac:dyDescent="0.35">
      <c r="A3" t="s">
        <v>15</v>
      </c>
      <c r="B3" t="s">
        <v>16</v>
      </c>
      <c r="C3" t="s">
        <v>10</v>
      </c>
      <c r="D3" s="1">
        <v>46204</v>
      </c>
      <c r="E3" t="s">
        <v>17</v>
      </c>
      <c r="F3" t="s">
        <v>12</v>
      </c>
      <c r="G3" t="s">
        <v>18</v>
      </c>
      <c r="H3" t="s">
        <v>14</v>
      </c>
      <c r="I3" t="str">
        <f t="shared" si="0"/>
        <v>Blocked</v>
      </c>
      <c r="J3" t="str">
        <f t="shared" si="1"/>
        <v>Multiple Issues</v>
      </c>
    </row>
    <row r="4" spans="1:10" x14ac:dyDescent="0.35">
      <c r="A4" t="s">
        <v>19</v>
      </c>
      <c r="B4" t="s">
        <v>20</v>
      </c>
      <c r="C4" t="s">
        <v>10</v>
      </c>
      <c r="D4" s="1">
        <v>46253</v>
      </c>
      <c r="E4" t="s">
        <v>21</v>
      </c>
      <c r="F4" t="s">
        <v>22</v>
      </c>
      <c r="G4" t="s">
        <v>22</v>
      </c>
      <c r="H4" t="s">
        <v>23</v>
      </c>
      <c r="I4" t="str">
        <f t="shared" si="0"/>
        <v>Ready</v>
      </c>
      <c r="J4" t="str">
        <f t="shared" si="1"/>
        <v>Ready</v>
      </c>
    </row>
    <row r="5" spans="1:10" x14ac:dyDescent="0.35">
      <c r="A5" t="s">
        <v>24</v>
      </c>
      <c r="B5" t="s">
        <v>25</v>
      </c>
      <c r="C5" t="s">
        <v>26</v>
      </c>
      <c r="D5" s="1">
        <v>46213</v>
      </c>
      <c r="E5" t="s">
        <v>17</v>
      </c>
      <c r="F5" t="s">
        <v>12</v>
      </c>
      <c r="G5" t="s">
        <v>13</v>
      </c>
      <c r="H5" t="s">
        <v>27</v>
      </c>
      <c r="I5" t="str">
        <f t="shared" si="0"/>
        <v>Blocked</v>
      </c>
      <c r="J5" t="str">
        <f t="shared" si="1"/>
        <v>Multiple Issues</v>
      </c>
    </row>
    <row r="6" spans="1:10" x14ac:dyDescent="0.35">
      <c r="A6" t="s">
        <v>28</v>
      </c>
      <c r="B6" t="s">
        <v>29</v>
      </c>
      <c r="C6" t="s">
        <v>30</v>
      </c>
      <c r="D6" s="1">
        <v>46151</v>
      </c>
      <c r="E6" t="s">
        <v>31</v>
      </c>
      <c r="F6" t="s">
        <v>32</v>
      </c>
      <c r="G6" t="s">
        <v>22</v>
      </c>
      <c r="H6" t="s">
        <v>14</v>
      </c>
      <c r="I6" t="str">
        <f t="shared" si="0"/>
        <v>Blocked</v>
      </c>
      <c r="J6" t="str">
        <f t="shared" si="1"/>
        <v>Regulatory Delay</v>
      </c>
    </row>
    <row r="7" spans="1:10" x14ac:dyDescent="0.35">
      <c r="A7" t="s">
        <v>33</v>
      </c>
      <c r="B7" t="s">
        <v>34</v>
      </c>
      <c r="C7" t="s">
        <v>35</v>
      </c>
      <c r="D7" s="1">
        <v>46244</v>
      </c>
      <c r="E7" t="s">
        <v>21</v>
      </c>
      <c r="F7" t="s">
        <v>22</v>
      </c>
      <c r="G7" t="s">
        <v>22</v>
      </c>
      <c r="H7" t="s">
        <v>23</v>
      </c>
      <c r="I7" t="str">
        <f t="shared" si="0"/>
        <v>Ready</v>
      </c>
      <c r="J7" t="str">
        <f t="shared" si="1"/>
        <v>Ready</v>
      </c>
    </row>
    <row r="8" spans="1:10" x14ac:dyDescent="0.35">
      <c r="A8" t="s">
        <v>36</v>
      </c>
      <c r="B8" t="s">
        <v>37</v>
      </c>
      <c r="C8" t="s">
        <v>38</v>
      </c>
      <c r="D8" s="1">
        <v>46038</v>
      </c>
      <c r="E8" t="s">
        <v>17</v>
      </c>
      <c r="F8" t="s">
        <v>32</v>
      </c>
      <c r="G8" t="s">
        <v>22</v>
      </c>
      <c r="H8" t="s">
        <v>14</v>
      </c>
      <c r="I8" t="str">
        <f t="shared" si="0"/>
        <v>Blocked</v>
      </c>
      <c r="J8" t="str">
        <f t="shared" si="1"/>
        <v>Regulatory Delay</v>
      </c>
    </row>
    <row r="9" spans="1:10" x14ac:dyDescent="0.35">
      <c r="A9" t="s">
        <v>39</v>
      </c>
      <c r="B9" t="s">
        <v>40</v>
      </c>
      <c r="C9" t="s">
        <v>30</v>
      </c>
      <c r="D9" s="1">
        <v>46073</v>
      </c>
      <c r="E9" t="s">
        <v>11</v>
      </c>
      <c r="F9" t="s">
        <v>22</v>
      </c>
      <c r="G9" t="s">
        <v>13</v>
      </c>
      <c r="H9" t="s">
        <v>14</v>
      </c>
      <c r="I9" t="str">
        <f t="shared" si="0"/>
        <v>Blocked</v>
      </c>
      <c r="J9" t="str">
        <f t="shared" si="1"/>
        <v>Artwork Delay</v>
      </c>
    </row>
    <row r="10" spans="1:10" x14ac:dyDescent="0.35">
      <c r="A10" t="s">
        <v>41</v>
      </c>
      <c r="B10" t="s">
        <v>42</v>
      </c>
      <c r="C10" t="s">
        <v>35</v>
      </c>
      <c r="D10" s="1">
        <v>46068</v>
      </c>
      <c r="E10" t="s">
        <v>21</v>
      </c>
      <c r="F10" t="s">
        <v>12</v>
      </c>
      <c r="G10" t="s">
        <v>22</v>
      </c>
      <c r="H10" t="s">
        <v>27</v>
      </c>
      <c r="I10" t="str">
        <f t="shared" si="0"/>
        <v>Blocked</v>
      </c>
      <c r="J10" t="str">
        <f t="shared" si="1"/>
        <v>Regulatory Delay</v>
      </c>
    </row>
    <row r="11" spans="1:10" x14ac:dyDescent="0.35">
      <c r="A11" t="s">
        <v>43</v>
      </c>
      <c r="B11" t="s">
        <v>44</v>
      </c>
      <c r="C11" t="s">
        <v>30</v>
      </c>
      <c r="D11" s="1">
        <v>46208</v>
      </c>
      <c r="E11" t="s">
        <v>31</v>
      </c>
      <c r="F11" t="s">
        <v>32</v>
      </c>
      <c r="G11" t="s">
        <v>13</v>
      </c>
      <c r="H11" t="s">
        <v>14</v>
      </c>
      <c r="I11" t="str">
        <f t="shared" si="0"/>
        <v>Blocked</v>
      </c>
      <c r="J11" t="str">
        <f t="shared" si="1"/>
        <v>Multiple Issues</v>
      </c>
    </row>
    <row r="12" spans="1:10" x14ac:dyDescent="0.35">
      <c r="A12" t="s">
        <v>45</v>
      </c>
      <c r="B12" t="s">
        <v>46</v>
      </c>
      <c r="C12" t="s">
        <v>10</v>
      </c>
      <c r="D12" s="1">
        <v>46217</v>
      </c>
      <c r="E12" t="s">
        <v>31</v>
      </c>
      <c r="F12" t="s">
        <v>12</v>
      </c>
      <c r="G12" t="s">
        <v>22</v>
      </c>
      <c r="H12" t="s">
        <v>23</v>
      </c>
      <c r="I12" t="str">
        <f t="shared" si="0"/>
        <v>Blocked</v>
      </c>
      <c r="J12" t="str">
        <f t="shared" si="1"/>
        <v>Regulatory Delay</v>
      </c>
    </row>
    <row r="13" spans="1:10" x14ac:dyDescent="0.35">
      <c r="A13" t="s">
        <v>47</v>
      </c>
      <c r="B13" t="s">
        <v>48</v>
      </c>
      <c r="C13" t="s">
        <v>35</v>
      </c>
      <c r="D13" s="1">
        <v>46319</v>
      </c>
      <c r="E13" t="s">
        <v>17</v>
      </c>
      <c r="F13" t="s">
        <v>32</v>
      </c>
      <c r="G13" t="s">
        <v>13</v>
      </c>
      <c r="H13" t="s">
        <v>14</v>
      </c>
      <c r="I13" t="str">
        <f t="shared" si="0"/>
        <v>Blocked</v>
      </c>
      <c r="J13" t="str">
        <f t="shared" si="1"/>
        <v>Multiple Issues</v>
      </c>
    </row>
    <row r="14" spans="1:10" x14ac:dyDescent="0.35">
      <c r="A14" t="s">
        <v>49</v>
      </c>
      <c r="B14" t="s">
        <v>50</v>
      </c>
      <c r="C14" t="s">
        <v>35</v>
      </c>
      <c r="D14" s="1">
        <v>46284</v>
      </c>
      <c r="E14" t="s">
        <v>11</v>
      </c>
      <c r="F14" t="s">
        <v>22</v>
      </c>
      <c r="G14" t="s">
        <v>13</v>
      </c>
      <c r="H14" t="s">
        <v>27</v>
      </c>
      <c r="I14" t="str">
        <f t="shared" si="0"/>
        <v>Blocked</v>
      </c>
      <c r="J14" t="str">
        <f t="shared" si="1"/>
        <v>Artwork Delay</v>
      </c>
    </row>
    <row r="15" spans="1:10" x14ac:dyDescent="0.35">
      <c r="A15" t="s">
        <v>51</v>
      </c>
      <c r="B15" t="s">
        <v>52</v>
      </c>
      <c r="C15" t="s">
        <v>26</v>
      </c>
      <c r="D15" s="1">
        <v>46027</v>
      </c>
      <c r="E15" t="s">
        <v>21</v>
      </c>
      <c r="F15" t="s">
        <v>32</v>
      </c>
      <c r="G15" t="s">
        <v>13</v>
      </c>
      <c r="H15" t="s">
        <v>14</v>
      </c>
      <c r="I15" t="str">
        <f t="shared" si="0"/>
        <v>Blocked</v>
      </c>
      <c r="J15" t="str">
        <f t="shared" si="1"/>
        <v>Multiple Issues</v>
      </c>
    </row>
    <row r="16" spans="1:10" x14ac:dyDescent="0.35">
      <c r="A16" t="s">
        <v>53</v>
      </c>
      <c r="B16" t="s">
        <v>54</v>
      </c>
      <c r="C16" t="s">
        <v>35</v>
      </c>
      <c r="D16" s="1">
        <v>46086</v>
      </c>
      <c r="E16" t="s">
        <v>17</v>
      </c>
      <c r="F16" t="s">
        <v>32</v>
      </c>
      <c r="G16" t="s">
        <v>13</v>
      </c>
      <c r="H16" t="s">
        <v>27</v>
      </c>
      <c r="I16" t="str">
        <f t="shared" si="0"/>
        <v>Blocked</v>
      </c>
      <c r="J16" t="str">
        <f t="shared" si="1"/>
        <v>Multiple Issues</v>
      </c>
    </row>
    <row r="17" spans="1:10" x14ac:dyDescent="0.35">
      <c r="A17" t="s">
        <v>55</v>
      </c>
      <c r="B17" t="s">
        <v>56</v>
      </c>
      <c r="C17" t="s">
        <v>38</v>
      </c>
      <c r="D17" s="1">
        <v>46129</v>
      </c>
      <c r="E17" t="s">
        <v>11</v>
      </c>
      <c r="F17" t="s">
        <v>22</v>
      </c>
      <c r="G17" t="s">
        <v>22</v>
      </c>
      <c r="H17" t="s">
        <v>23</v>
      </c>
      <c r="I17" t="str">
        <f t="shared" si="0"/>
        <v>Ready</v>
      </c>
      <c r="J17" t="str">
        <f t="shared" si="1"/>
        <v>Ready</v>
      </c>
    </row>
    <row r="18" spans="1:10" x14ac:dyDescent="0.35">
      <c r="A18" t="s">
        <v>57</v>
      </c>
      <c r="B18" t="s">
        <v>58</v>
      </c>
      <c r="C18" t="s">
        <v>38</v>
      </c>
      <c r="D18" s="1">
        <v>46078</v>
      </c>
      <c r="E18" t="s">
        <v>21</v>
      </c>
      <c r="F18" t="s">
        <v>12</v>
      </c>
      <c r="G18" t="s">
        <v>18</v>
      </c>
      <c r="H18" t="s">
        <v>27</v>
      </c>
      <c r="I18" t="str">
        <f t="shared" si="0"/>
        <v>Blocked</v>
      </c>
      <c r="J18" t="str">
        <f t="shared" si="1"/>
        <v>Multiple Issues</v>
      </c>
    </row>
    <row r="19" spans="1:10" x14ac:dyDescent="0.35">
      <c r="A19" t="s">
        <v>59</v>
      </c>
      <c r="B19" t="s">
        <v>60</v>
      </c>
      <c r="C19" t="s">
        <v>30</v>
      </c>
      <c r="D19" s="1">
        <v>46144</v>
      </c>
      <c r="E19" t="s">
        <v>21</v>
      </c>
      <c r="F19" t="s">
        <v>12</v>
      </c>
      <c r="G19" t="s">
        <v>18</v>
      </c>
      <c r="H19" t="s">
        <v>14</v>
      </c>
      <c r="I19" t="str">
        <f t="shared" si="0"/>
        <v>Blocked</v>
      </c>
      <c r="J19" t="str">
        <f t="shared" si="1"/>
        <v>Multiple Issues</v>
      </c>
    </row>
    <row r="20" spans="1:10" x14ac:dyDescent="0.35">
      <c r="A20" t="s">
        <v>61</v>
      </c>
      <c r="B20" t="s">
        <v>62</v>
      </c>
      <c r="C20" t="s">
        <v>30</v>
      </c>
      <c r="D20" s="1">
        <v>46074</v>
      </c>
      <c r="E20" t="s">
        <v>21</v>
      </c>
      <c r="F20" t="s">
        <v>22</v>
      </c>
      <c r="G20" t="s">
        <v>13</v>
      </c>
      <c r="H20" t="s">
        <v>14</v>
      </c>
      <c r="I20" t="str">
        <f t="shared" si="0"/>
        <v>Blocked</v>
      </c>
      <c r="J20" t="str">
        <f t="shared" si="1"/>
        <v>Artwork Delay</v>
      </c>
    </row>
    <row r="21" spans="1:10" x14ac:dyDescent="0.35">
      <c r="A21" t="s">
        <v>63</v>
      </c>
      <c r="B21" t="s">
        <v>64</v>
      </c>
      <c r="C21" t="s">
        <v>10</v>
      </c>
      <c r="D21" s="1">
        <v>46193</v>
      </c>
      <c r="E21" t="s">
        <v>31</v>
      </c>
      <c r="F21" t="s">
        <v>12</v>
      </c>
      <c r="G21" t="s">
        <v>18</v>
      </c>
      <c r="H21" t="s">
        <v>27</v>
      </c>
      <c r="I21" t="str">
        <f t="shared" si="0"/>
        <v>Blocked</v>
      </c>
      <c r="J21" t="str">
        <f t="shared" si="1"/>
        <v>Multiple Issues</v>
      </c>
    </row>
    <row r="22" spans="1:10" x14ac:dyDescent="0.35">
      <c r="A22" t="s">
        <v>65</v>
      </c>
      <c r="B22" t="s">
        <v>66</v>
      </c>
      <c r="C22" t="s">
        <v>26</v>
      </c>
      <c r="D22" s="1">
        <v>46181</v>
      </c>
      <c r="E22" t="s">
        <v>11</v>
      </c>
      <c r="F22" t="s">
        <v>32</v>
      </c>
      <c r="G22" t="s">
        <v>18</v>
      </c>
      <c r="H22" t="s">
        <v>23</v>
      </c>
      <c r="I22" t="str">
        <f t="shared" si="0"/>
        <v>Blocked</v>
      </c>
      <c r="J22" t="str">
        <f t="shared" si="1"/>
        <v>Multiple Issues</v>
      </c>
    </row>
    <row r="23" spans="1:10" x14ac:dyDescent="0.35">
      <c r="A23" t="s">
        <v>67</v>
      </c>
      <c r="B23" t="s">
        <v>68</v>
      </c>
      <c r="C23" t="s">
        <v>10</v>
      </c>
      <c r="D23" s="1">
        <v>46097</v>
      </c>
      <c r="E23" t="s">
        <v>17</v>
      </c>
      <c r="F23" t="s">
        <v>12</v>
      </c>
      <c r="G23" t="s">
        <v>13</v>
      </c>
      <c r="H23" t="s">
        <v>27</v>
      </c>
      <c r="I23" t="str">
        <f t="shared" si="0"/>
        <v>Blocked</v>
      </c>
      <c r="J23" t="str">
        <f t="shared" si="1"/>
        <v>Multiple Issues</v>
      </c>
    </row>
    <row r="24" spans="1:10" x14ac:dyDescent="0.35">
      <c r="A24" t="s">
        <v>69</v>
      </c>
      <c r="B24" t="s">
        <v>70</v>
      </c>
      <c r="C24" t="s">
        <v>35</v>
      </c>
      <c r="D24" s="1">
        <v>46157</v>
      </c>
      <c r="E24" t="s">
        <v>11</v>
      </c>
      <c r="F24" t="s">
        <v>32</v>
      </c>
      <c r="G24" t="s">
        <v>22</v>
      </c>
      <c r="H24" t="s">
        <v>23</v>
      </c>
      <c r="I24" t="str">
        <f t="shared" si="0"/>
        <v>Blocked</v>
      </c>
      <c r="J24" t="str">
        <f t="shared" si="1"/>
        <v>Regulatory Delay</v>
      </c>
    </row>
    <row r="25" spans="1:10" x14ac:dyDescent="0.35">
      <c r="A25" t="s">
        <v>71</v>
      </c>
      <c r="B25" t="s">
        <v>72</v>
      </c>
      <c r="C25" t="s">
        <v>26</v>
      </c>
      <c r="D25" s="1">
        <v>46170</v>
      </c>
      <c r="E25" t="s">
        <v>21</v>
      </c>
      <c r="F25" t="s">
        <v>32</v>
      </c>
      <c r="G25" t="s">
        <v>18</v>
      </c>
      <c r="H25" t="s">
        <v>27</v>
      </c>
      <c r="I25" t="str">
        <f t="shared" si="0"/>
        <v>Blocked</v>
      </c>
      <c r="J25" t="str">
        <f t="shared" si="1"/>
        <v>Multiple Issues</v>
      </c>
    </row>
    <row r="26" spans="1:10" x14ac:dyDescent="0.35">
      <c r="A26" t="s">
        <v>73</v>
      </c>
      <c r="B26" t="s">
        <v>74</v>
      </c>
      <c r="C26" t="s">
        <v>38</v>
      </c>
      <c r="D26" s="1">
        <v>46124</v>
      </c>
      <c r="E26" t="s">
        <v>17</v>
      </c>
      <c r="F26" t="s">
        <v>32</v>
      </c>
      <c r="G26" t="s">
        <v>22</v>
      </c>
      <c r="H26" t="s">
        <v>14</v>
      </c>
      <c r="I26" t="str">
        <f t="shared" si="0"/>
        <v>Blocked</v>
      </c>
      <c r="J26" t="str">
        <f t="shared" si="1"/>
        <v>Regulatory Delay</v>
      </c>
    </row>
    <row r="27" spans="1:10" x14ac:dyDescent="0.35">
      <c r="A27" t="s">
        <v>75</v>
      </c>
      <c r="B27" t="s">
        <v>76</v>
      </c>
      <c r="C27" t="s">
        <v>38</v>
      </c>
      <c r="D27" s="1">
        <v>46252</v>
      </c>
      <c r="E27" t="s">
        <v>17</v>
      </c>
      <c r="F27" t="s">
        <v>32</v>
      </c>
      <c r="G27" t="s">
        <v>22</v>
      </c>
      <c r="H27" t="s">
        <v>14</v>
      </c>
      <c r="I27" t="str">
        <f t="shared" si="0"/>
        <v>Blocked</v>
      </c>
      <c r="J27" t="str">
        <f t="shared" si="1"/>
        <v>Regulatory Delay</v>
      </c>
    </row>
    <row r="28" spans="1:10" x14ac:dyDescent="0.35">
      <c r="A28" t="s">
        <v>77</v>
      </c>
      <c r="B28" t="s">
        <v>78</v>
      </c>
      <c r="C28" t="s">
        <v>35</v>
      </c>
      <c r="D28" s="1">
        <v>46207</v>
      </c>
      <c r="E28" t="s">
        <v>31</v>
      </c>
      <c r="F28" t="s">
        <v>22</v>
      </c>
      <c r="G28" t="s">
        <v>22</v>
      </c>
      <c r="H28" t="s">
        <v>23</v>
      </c>
      <c r="I28" t="str">
        <f t="shared" si="0"/>
        <v>Ready</v>
      </c>
      <c r="J28" t="str">
        <f t="shared" si="1"/>
        <v>Ready</v>
      </c>
    </row>
    <row r="29" spans="1:10" x14ac:dyDescent="0.35">
      <c r="A29" t="s">
        <v>79</v>
      </c>
      <c r="B29" t="s">
        <v>80</v>
      </c>
      <c r="C29" t="s">
        <v>10</v>
      </c>
      <c r="D29" s="1">
        <v>46259</v>
      </c>
      <c r="E29" t="s">
        <v>21</v>
      </c>
      <c r="F29" t="s">
        <v>32</v>
      </c>
      <c r="G29" t="s">
        <v>13</v>
      </c>
      <c r="H29" t="s">
        <v>23</v>
      </c>
      <c r="I29" t="str">
        <f t="shared" si="0"/>
        <v>Blocked</v>
      </c>
      <c r="J29" t="str">
        <f t="shared" si="1"/>
        <v>Multiple Issues</v>
      </c>
    </row>
    <row r="30" spans="1:10" x14ac:dyDescent="0.35">
      <c r="A30" t="s">
        <v>81</v>
      </c>
      <c r="B30" t="s">
        <v>82</v>
      </c>
      <c r="C30" t="s">
        <v>10</v>
      </c>
      <c r="D30" s="1">
        <v>46038</v>
      </c>
      <c r="E30" t="s">
        <v>21</v>
      </c>
      <c r="F30" t="s">
        <v>32</v>
      </c>
      <c r="G30" t="s">
        <v>18</v>
      </c>
      <c r="H30" t="s">
        <v>27</v>
      </c>
      <c r="I30" t="str">
        <f t="shared" si="0"/>
        <v>Blocked</v>
      </c>
      <c r="J30" t="str">
        <f t="shared" si="1"/>
        <v>Multiple Issues</v>
      </c>
    </row>
    <row r="31" spans="1:10" x14ac:dyDescent="0.35">
      <c r="A31" t="s">
        <v>83</v>
      </c>
      <c r="B31" t="s">
        <v>84</v>
      </c>
      <c r="C31" t="s">
        <v>35</v>
      </c>
      <c r="D31" s="1">
        <v>46142</v>
      </c>
      <c r="E31" t="s">
        <v>11</v>
      </c>
      <c r="F31" t="s">
        <v>12</v>
      </c>
      <c r="G31" t="s">
        <v>22</v>
      </c>
      <c r="H31" t="s">
        <v>14</v>
      </c>
      <c r="I31" t="str">
        <f t="shared" si="0"/>
        <v>Blocked</v>
      </c>
      <c r="J31" t="str">
        <f t="shared" si="1"/>
        <v>Regulatory Delay</v>
      </c>
    </row>
    <row r="32" spans="1:10" x14ac:dyDescent="0.35">
      <c r="A32" t="s">
        <v>85</v>
      </c>
      <c r="B32" t="s">
        <v>86</v>
      </c>
      <c r="C32" t="s">
        <v>35</v>
      </c>
      <c r="D32" s="1">
        <v>46253</v>
      </c>
      <c r="E32" t="s">
        <v>17</v>
      </c>
      <c r="F32" t="s">
        <v>12</v>
      </c>
      <c r="G32" t="s">
        <v>13</v>
      </c>
      <c r="H32" t="s">
        <v>23</v>
      </c>
      <c r="I32" t="str">
        <f t="shared" si="0"/>
        <v>Blocked</v>
      </c>
      <c r="J32" t="str">
        <f t="shared" si="1"/>
        <v>Multiple Issues</v>
      </c>
    </row>
    <row r="33" spans="1:10" x14ac:dyDescent="0.35">
      <c r="A33" t="s">
        <v>87</v>
      </c>
      <c r="B33" t="s">
        <v>88</v>
      </c>
      <c r="C33" t="s">
        <v>38</v>
      </c>
      <c r="D33" s="1">
        <v>46237</v>
      </c>
      <c r="E33" t="s">
        <v>21</v>
      </c>
      <c r="F33" t="s">
        <v>32</v>
      </c>
      <c r="G33" t="s">
        <v>13</v>
      </c>
      <c r="H33" t="s">
        <v>14</v>
      </c>
      <c r="I33" t="str">
        <f t="shared" si="0"/>
        <v>Blocked</v>
      </c>
      <c r="J33" t="str">
        <f t="shared" si="1"/>
        <v>Multiple Issues</v>
      </c>
    </row>
    <row r="34" spans="1:10" x14ac:dyDescent="0.35">
      <c r="A34" t="s">
        <v>89</v>
      </c>
      <c r="B34" t="s">
        <v>90</v>
      </c>
      <c r="C34" t="s">
        <v>30</v>
      </c>
      <c r="D34" s="1">
        <v>46294</v>
      </c>
      <c r="E34" t="s">
        <v>11</v>
      </c>
      <c r="F34" t="s">
        <v>22</v>
      </c>
      <c r="G34" t="s">
        <v>13</v>
      </c>
      <c r="H34" t="s">
        <v>14</v>
      </c>
      <c r="I34" t="str">
        <f t="shared" ref="I34:I51" si="2">IF(AND(F34="Approved",G34="Approved"),"Ready","Blocked")</f>
        <v>Blocked</v>
      </c>
      <c r="J34" t="str">
        <f t="shared" ref="J34:J51" si="3">IF(AND(F34="Approved",G34="Approved"),"Ready", IF(AND(F34&lt;&gt;"Approved",G34="Approved"),"Regulatory Delay", IF(AND(F34="Approved",G34&lt;&gt;"Approved"),"Artwork Delay","Multiple Issues")))</f>
        <v>Artwork Delay</v>
      </c>
    </row>
    <row r="35" spans="1:10" x14ac:dyDescent="0.35">
      <c r="A35" t="s">
        <v>91</v>
      </c>
      <c r="B35" t="s">
        <v>92</v>
      </c>
      <c r="C35" t="s">
        <v>35</v>
      </c>
      <c r="D35" s="1">
        <v>46172</v>
      </c>
      <c r="E35" t="s">
        <v>11</v>
      </c>
      <c r="F35" t="s">
        <v>12</v>
      </c>
      <c r="G35" t="s">
        <v>22</v>
      </c>
      <c r="H35" t="s">
        <v>27</v>
      </c>
      <c r="I35" t="str">
        <f t="shared" si="2"/>
        <v>Blocked</v>
      </c>
      <c r="J35" t="str">
        <f t="shared" si="3"/>
        <v>Regulatory Delay</v>
      </c>
    </row>
    <row r="36" spans="1:10" x14ac:dyDescent="0.35">
      <c r="A36" t="s">
        <v>93</v>
      </c>
      <c r="B36" t="s">
        <v>94</v>
      </c>
      <c r="C36" t="s">
        <v>30</v>
      </c>
      <c r="D36" s="1">
        <v>46103</v>
      </c>
      <c r="E36" t="s">
        <v>21</v>
      </c>
      <c r="F36" t="s">
        <v>22</v>
      </c>
      <c r="G36" t="s">
        <v>18</v>
      </c>
      <c r="H36" t="s">
        <v>14</v>
      </c>
      <c r="I36" t="str">
        <f t="shared" si="2"/>
        <v>Blocked</v>
      </c>
      <c r="J36" t="str">
        <f t="shared" si="3"/>
        <v>Artwork Delay</v>
      </c>
    </row>
    <row r="37" spans="1:10" x14ac:dyDescent="0.35">
      <c r="A37" t="s">
        <v>95</v>
      </c>
      <c r="B37" t="s">
        <v>96</v>
      </c>
      <c r="C37" t="s">
        <v>38</v>
      </c>
      <c r="D37" s="1">
        <v>46055</v>
      </c>
      <c r="E37" t="s">
        <v>31</v>
      </c>
      <c r="F37" t="s">
        <v>32</v>
      </c>
      <c r="G37" t="s">
        <v>13</v>
      </c>
      <c r="H37" t="s">
        <v>14</v>
      </c>
      <c r="I37" t="str">
        <f t="shared" si="2"/>
        <v>Blocked</v>
      </c>
      <c r="J37" t="str">
        <f t="shared" si="3"/>
        <v>Multiple Issues</v>
      </c>
    </row>
    <row r="38" spans="1:10" x14ac:dyDescent="0.35">
      <c r="A38" t="s">
        <v>97</v>
      </c>
      <c r="B38" t="s">
        <v>98</v>
      </c>
      <c r="C38" t="s">
        <v>38</v>
      </c>
      <c r="D38" s="1">
        <v>46188</v>
      </c>
      <c r="E38" t="s">
        <v>17</v>
      </c>
      <c r="F38" t="s">
        <v>22</v>
      </c>
      <c r="G38" t="s">
        <v>22</v>
      </c>
      <c r="H38" t="s">
        <v>27</v>
      </c>
      <c r="I38" t="str">
        <f t="shared" si="2"/>
        <v>Ready</v>
      </c>
      <c r="J38" t="str">
        <f t="shared" si="3"/>
        <v>Ready</v>
      </c>
    </row>
    <row r="39" spans="1:10" x14ac:dyDescent="0.35">
      <c r="A39" t="s">
        <v>99</v>
      </c>
      <c r="B39" t="s">
        <v>100</v>
      </c>
      <c r="C39" t="s">
        <v>10</v>
      </c>
      <c r="D39" s="1">
        <v>46199</v>
      </c>
      <c r="E39" t="s">
        <v>31</v>
      </c>
      <c r="F39" t="s">
        <v>12</v>
      </c>
      <c r="G39" t="s">
        <v>22</v>
      </c>
      <c r="H39" t="s">
        <v>14</v>
      </c>
      <c r="I39" t="str">
        <f t="shared" si="2"/>
        <v>Blocked</v>
      </c>
      <c r="J39" t="str">
        <f t="shared" si="3"/>
        <v>Regulatory Delay</v>
      </c>
    </row>
    <row r="40" spans="1:10" x14ac:dyDescent="0.35">
      <c r="A40" t="s">
        <v>101</v>
      </c>
      <c r="B40" t="s">
        <v>102</v>
      </c>
      <c r="C40" t="s">
        <v>35</v>
      </c>
      <c r="D40" s="1">
        <v>46292</v>
      </c>
      <c r="E40" t="s">
        <v>11</v>
      </c>
      <c r="F40" t="s">
        <v>12</v>
      </c>
      <c r="G40" t="s">
        <v>22</v>
      </c>
      <c r="H40" t="s">
        <v>23</v>
      </c>
      <c r="I40" t="str">
        <f t="shared" si="2"/>
        <v>Blocked</v>
      </c>
      <c r="J40" t="str">
        <f t="shared" si="3"/>
        <v>Regulatory Delay</v>
      </c>
    </row>
    <row r="41" spans="1:10" x14ac:dyDescent="0.35">
      <c r="A41" t="s">
        <v>103</v>
      </c>
      <c r="B41" t="s">
        <v>104</v>
      </c>
      <c r="C41" t="s">
        <v>38</v>
      </c>
      <c r="D41" s="1">
        <v>46306</v>
      </c>
      <c r="E41" t="s">
        <v>17</v>
      </c>
      <c r="F41" t="s">
        <v>32</v>
      </c>
      <c r="G41" t="s">
        <v>22</v>
      </c>
      <c r="H41" t="s">
        <v>23</v>
      </c>
      <c r="I41" t="str">
        <f t="shared" si="2"/>
        <v>Blocked</v>
      </c>
      <c r="J41" t="str">
        <f t="shared" si="3"/>
        <v>Regulatory Delay</v>
      </c>
    </row>
    <row r="42" spans="1:10" x14ac:dyDescent="0.35">
      <c r="A42" t="s">
        <v>105</v>
      </c>
      <c r="B42" t="s">
        <v>106</v>
      </c>
      <c r="C42" t="s">
        <v>10</v>
      </c>
      <c r="D42" s="1">
        <v>46144</v>
      </c>
      <c r="E42" t="s">
        <v>11</v>
      </c>
      <c r="F42" t="s">
        <v>12</v>
      </c>
      <c r="G42" t="s">
        <v>22</v>
      </c>
      <c r="H42" t="s">
        <v>23</v>
      </c>
      <c r="I42" t="str">
        <f t="shared" si="2"/>
        <v>Blocked</v>
      </c>
      <c r="J42" t="str">
        <f t="shared" si="3"/>
        <v>Regulatory Delay</v>
      </c>
    </row>
    <row r="43" spans="1:10" x14ac:dyDescent="0.35">
      <c r="A43" t="s">
        <v>107</v>
      </c>
      <c r="B43" t="s">
        <v>108</v>
      </c>
      <c r="C43" t="s">
        <v>10</v>
      </c>
      <c r="D43" s="1">
        <v>46157</v>
      </c>
      <c r="E43" t="s">
        <v>21</v>
      </c>
      <c r="F43" t="s">
        <v>22</v>
      </c>
      <c r="G43" t="s">
        <v>18</v>
      </c>
      <c r="H43" t="s">
        <v>27</v>
      </c>
      <c r="I43" t="str">
        <f t="shared" si="2"/>
        <v>Blocked</v>
      </c>
      <c r="J43" t="str">
        <f t="shared" si="3"/>
        <v>Artwork Delay</v>
      </c>
    </row>
    <row r="44" spans="1:10" x14ac:dyDescent="0.35">
      <c r="A44" t="s">
        <v>109</v>
      </c>
      <c r="B44" t="s">
        <v>110</v>
      </c>
      <c r="C44" t="s">
        <v>10</v>
      </c>
      <c r="D44" s="1">
        <v>46247</v>
      </c>
      <c r="E44" t="s">
        <v>21</v>
      </c>
      <c r="F44" t="s">
        <v>32</v>
      </c>
      <c r="G44" t="s">
        <v>18</v>
      </c>
      <c r="H44" t="s">
        <v>23</v>
      </c>
      <c r="I44" t="str">
        <f t="shared" si="2"/>
        <v>Blocked</v>
      </c>
      <c r="J44" t="str">
        <f t="shared" si="3"/>
        <v>Multiple Issues</v>
      </c>
    </row>
    <row r="45" spans="1:10" x14ac:dyDescent="0.35">
      <c r="A45" t="s">
        <v>111</v>
      </c>
      <c r="B45" t="s">
        <v>112</v>
      </c>
      <c r="C45" t="s">
        <v>38</v>
      </c>
      <c r="D45" s="1">
        <v>46269</v>
      </c>
      <c r="E45" t="s">
        <v>17</v>
      </c>
      <c r="F45" t="s">
        <v>22</v>
      </c>
      <c r="G45" t="s">
        <v>18</v>
      </c>
      <c r="H45" t="s">
        <v>27</v>
      </c>
      <c r="I45" t="str">
        <f t="shared" si="2"/>
        <v>Blocked</v>
      </c>
      <c r="J45" t="str">
        <f t="shared" si="3"/>
        <v>Artwork Delay</v>
      </c>
    </row>
    <row r="46" spans="1:10" x14ac:dyDescent="0.35">
      <c r="A46" t="s">
        <v>113</v>
      </c>
      <c r="B46" t="s">
        <v>114</v>
      </c>
      <c r="C46" t="s">
        <v>10</v>
      </c>
      <c r="D46" s="1">
        <v>46284</v>
      </c>
      <c r="E46" t="s">
        <v>21</v>
      </c>
      <c r="F46" t="s">
        <v>22</v>
      </c>
      <c r="G46" t="s">
        <v>13</v>
      </c>
      <c r="H46" t="s">
        <v>27</v>
      </c>
      <c r="I46" t="str">
        <f t="shared" si="2"/>
        <v>Blocked</v>
      </c>
      <c r="J46" t="str">
        <f t="shared" si="3"/>
        <v>Artwork Delay</v>
      </c>
    </row>
    <row r="47" spans="1:10" x14ac:dyDescent="0.35">
      <c r="A47" t="s">
        <v>115</v>
      </c>
      <c r="B47" t="s">
        <v>116</v>
      </c>
      <c r="C47" t="s">
        <v>10</v>
      </c>
      <c r="D47" s="1">
        <v>46054</v>
      </c>
      <c r="E47" t="s">
        <v>31</v>
      </c>
      <c r="F47" t="s">
        <v>12</v>
      </c>
      <c r="G47" t="s">
        <v>18</v>
      </c>
      <c r="H47" t="s">
        <v>27</v>
      </c>
      <c r="I47" t="str">
        <f t="shared" si="2"/>
        <v>Blocked</v>
      </c>
      <c r="J47" t="str">
        <f t="shared" si="3"/>
        <v>Multiple Issues</v>
      </c>
    </row>
    <row r="48" spans="1:10" x14ac:dyDescent="0.35">
      <c r="A48" t="s">
        <v>117</v>
      </c>
      <c r="B48" t="s">
        <v>118</v>
      </c>
      <c r="C48" t="s">
        <v>35</v>
      </c>
      <c r="D48" s="1">
        <v>46130</v>
      </c>
      <c r="E48" t="s">
        <v>11</v>
      </c>
      <c r="F48" t="s">
        <v>32</v>
      </c>
      <c r="G48" t="s">
        <v>22</v>
      </c>
      <c r="H48" t="s">
        <v>27</v>
      </c>
      <c r="I48" t="str">
        <f t="shared" si="2"/>
        <v>Blocked</v>
      </c>
      <c r="J48" t="str">
        <f t="shared" si="3"/>
        <v>Regulatory Delay</v>
      </c>
    </row>
    <row r="49" spans="1:10" x14ac:dyDescent="0.35">
      <c r="A49" t="s">
        <v>119</v>
      </c>
      <c r="B49" t="s">
        <v>120</v>
      </c>
      <c r="C49" t="s">
        <v>10</v>
      </c>
      <c r="D49" s="1">
        <v>46065</v>
      </c>
      <c r="E49" t="s">
        <v>11</v>
      </c>
      <c r="F49" t="s">
        <v>32</v>
      </c>
      <c r="G49" t="s">
        <v>22</v>
      </c>
      <c r="H49" t="s">
        <v>27</v>
      </c>
      <c r="I49" t="str">
        <f t="shared" si="2"/>
        <v>Blocked</v>
      </c>
      <c r="J49" t="str">
        <f t="shared" si="3"/>
        <v>Regulatory Delay</v>
      </c>
    </row>
    <row r="50" spans="1:10" x14ac:dyDescent="0.35">
      <c r="A50" t="s">
        <v>121</v>
      </c>
      <c r="B50" t="s">
        <v>122</v>
      </c>
      <c r="C50" t="s">
        <v>26</v>
      </c>
      <c r="D50" s="1">
        <v>46296</v>
      </c>
      <c r="E50" t="s">
        <v>31</v>
      </c>
      <c r="F50" t="s">
        <v>32</v>
      </c>
      <c r="G50" t="s">
        <v>18</v>
      </c>
      <c r="H50" t="s">
        <v>27</v>
      </c>
      <c r="I50" t="str">
        <f t="shared" si="2"/>
        <v>Blocked</v>
      </c>
      <c r="J50" t="str">
        <f t="shared" si="3"/>
        <v>Multiple Issues</v>
      </c>
    </row>
    <row r="51" spans="1:10" x14ac:dyDescent="0.35">
      <c r="A51" t="s">
        <v>123</v>
      </c>
      <c r="B51" t="s">
        <v>124</v>
      </c>
      <c r="C51" t="s">
        <v>38</v>
      </c>
      <c r="D51" s="1">
        <v>46067</v>
      </c>
      <c r="E51" t="s">
        <v>17</v>
      </c>
      <c r="F51" t="s">
        <v>12</v>
      </c>
      <c r="G51" t="s">
        <v>18</v>
      </c>
      <c r="H51" t="s">
        <v>27</v>
      </c>
      <c r="I51" t="str">
        <f t="shared" si="2"/>
        <v>Blocked</v>
      </c>
      <c r="J51" t="str">
        <f t="shared" si="3"/>
        <v>Multiple Issues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E3B1-6CEF-4C02-90B1-9DD87E5E78DC}">
  <dimension ref="B1:I30"/>
  <sheetViews>
    <sheetView zoomScale="55" zoomScaleNormal="55" workbookViewId="0">
      <selection activeCell="S25" sqref="S25"/>
    </sheetView>
  </sheetViews>
  <sheetFormatPr defaultRowHeight="14.5" x14ac:dyDescent="0.35"/>
  <cols>
    <col min="2" max="2" width="14.7265625" bestFit="1" customWidth="1"/>
    <col min="3" max="3" width="16.6328125" bestFit="1" customWidth="1"/>
    <col min="4" max="4" width="5.54296875" customWidth="1"/>
    <col min="5" max="5" width="14.08984375" bestFit="1" customWidth="1"/>
    <col min="6" max="6" width="16.6328125" bestFit="1" customWidth="1"/>
    <col min="7" max="7" width="5.26953125" customWidth="1"/>
    <col min="8" max="8" width="14.90625" bestFit="1" customWidth="1"/>
    <col min="9" max="9" width="18.1796875" bestFit="1" customWidth="1"/>
  </cols>
  <sheetData>
    <row r="1" spans="2:9" ht="15" thickBot="1" x14ac:dyDescent="0.4"/>
    <row r="2" spans="2:9" ht="15" thickBot="1" x14ac:dyDescent="0.4">
      <c r="B2" s="35" t="s">
        <v>161</v>
      </c>
      <c r="C2" s="36"/>
      <c r="D2" s="36"/>
      <c r="E2" s="36"/>
      <c r="F2" s="36"/>
      <c r="G2" s="36"/>
      <c r="H2" s="36"/>
      <c r="I2" s="37"/>
    </row>
    <row r="4" spans="2:9" s="20" customFormat="1" ht="15" thickBot="1" x14ac:dyDescent="0.4">
      <c r="B4" s="20" t="s">
        <v>5</v>
      </c>
      <c r="C4" s="20" t="s">
        <v>142</v>
      </c>
      <c r="E4" s="21" t="s">
        <v>6</v>
      </c>
      <c r="F4" s="22" t="s">
        <v>142</v>
      </c>
      <c r="H4" s="20" t="s">
        <v>7</v>
      </c>
      <c r="I4" s="20" t="s">
        <v>142</v>
      </c>
    </row>
    <row r="5" spans="2:9" ht="15" thickTop="1" x14ac:dyDescent="0.35">
      <c r="B5" s="13" t="s">
        <v>12</v>
      </c>
      <c r="C5">
        <f>COUNTIF(Launch_Tracker!F:F,Launch_Tracker!F2)</f>
        <v>17</v>
      </c>
      <c r="E5" s="23" t="s">
        <v>13</v>
      </c>
      <c r="F5" s="4">
        <f>COUNTIF(Table1[Artwork_Status],Launch_Tracker!G34)</f>
        <v>16</v>
      </c>
      <c r="H5" s="14" t="s">
        <v>23</v>
      </c>
      <c r="I5">
        <f>COUNTIF(Launch_Tracker!H:H,"Launched")</f>
        <v>13</v>
      </c>
    </row>
    <row r="6" spans="2:9" x14ac:dyDescent="0.35">
      <c r="B6" s="13" t="s">
        <v>32</v>
      </c>
      <c r="C6">
        <f>COUNTIF(Launch_Tracker!F:F,Launch_Tracker!F3)</f>
        <v>17</v>
      </c>
      <c r="E6" s="23" t="s">
        <v>18</v>
      </c>
      <c r="F6" s="25">
        <f>COUNTIF(Table1[Artwork_Status],Launch_Tracker!G37)</f>
        <v>16</v>
      </c>
      <c r="H6" s="14" t="s">
        <v>143</v>
      </c>
      <c r="I6">
        <f>COUNTIF(Launch_Tracker!$H:H,"In Progress")</f>
        <v>19</v>
      </c>
    </row>
    <row r="7" spans="2:9" ht="15" thickBot="1" x14ac:dyDescent="0.4">
      <c r="B7" s="13" t="s">
        <v>22</v>
      </c>
      <c r="C7">
        <f>COUNTIF(Launch_Tracker!F:F,Launch_Tracker!F7)</f>
        <v>13</v>
      </c>
      <c r="E7" s="23" t="s">
        <v>22</v>
      </c>
      <c r="F7" s="26">
        <f>COUNTIF(Table1[Artwork_Status],Launch_Tracker!G36)</f>
        <v>14</v>
      </c>
      <c r="H7" s="15" t="s">
        <v>14</v>
      </c>
      <c r="I7">
        <f>COUNTIF(Launch_Tracker!$H:H,"Planned")</f>
        <v>18</v>
      </c>
    </row>
    <row r="8" spans="2:9" ht="15" thickBot="1" x14ac:dyDescent="0.4">
      <c r="B8" s="11" t="s">
        <v>144</v>
      </c>
      <c r="C8" s="12">
        <f>SUM(C5:C7)</f>
        <v>47</v>
      </c>
      <c r="E8" s="11" t="s">
        <v>144</v>
      </c>
      <c r="F8" s="12">
        <f>SUM(F5:F7)</f>
        <v>46</v>
      </c>
      <c r="H8" s="9" t="s">
        <v>144</v>
      </c>
      <c r="I8" s="10">
        <f>SUM(I5:I7)</f>
        <v>50</v>
      </c>
    </row>
    <row r="11" spans="2:9" ht="15" thickBot="1" x14ac:dyDescent="0.4">
      <c r="B11" s="16" t="s">
        <v>0</v>
      </c>
      <c r="C11" s="16" t="s">
        <v>145</v>
      </c>
      <c r="E11" s="16" t="s">
        <v>0</v>
      </c>
      <c r="F11" s="16" t="s">
        <v>155</v>
      </c>
      <c r="H11" s="33" t="s">
        <v>153</v>
      </c>
      <c r="I11" s="34"/>
    </row>
    <row r="12" spans="2:9" ht="15" thickTop="1" x14ac:dyDescent="0.35">
      <c r="B12" s="2" t="s">
        <v>8</v>
      </c>
      <c r="C12" s="3" t="s">
        <v>9</v>
      </c>
      <c r="E12" s="2" t="s">
        <v>8</v>
      </c>
      <c r="F12" s="3" t="s">
        <v>9</v>
      </c>
      <c r="H12" s="18" t="s">
        <v>148</v>
      </c>
      <c r="I12" t="s">
        <v>152</v>
      </c>
    </row>
    <row r="13" spans="2:9" x14ac:dyDescent="0.35">
      <c r="B13" s="2" t="s">
        <v>15</v>
      </c>
      <c r="C13" s="3" t="s">
        <v>16</v>
      </c>
      <c r="E13" s="2" t="s">
        <v>24</v>
      </c>
      <c r="F13" s="3" t="s">
        <v>25</v>
      </c>
      <c r="H13" s="19" t="s">
        <v>150</v>
      </c>
      <c r="I13" s="17">
        <v>5</v>
      </c>
    </row>
    <row r="14" spans="2:9" x14ac:dyDescent="0.35">
      <c r="B14" s="2" t="s">
        <v>24</v>
      </c>
      <c r="C14" s="3" t="s">
        <v>25</v>
      </c>
      <c r="E14" s="2" t="s">
        <v>39</v>
      </c>
      <c r="F14" s="3" t="s">
        <v>40</v>
      </c>
      <c r="H14" s="19" t="s">
        <v>149</v>
      </c>
      <c r="I14" s="17">
        <v>45</v>
      </c>
    </row>
    <row r="15" spans="2:9" x14ac:dyDescent="0.35">
      <c r="B15" s="2" t="s">
        <v>41</v>
      </c>
      <c r="C15" s="3" t="s">
        <v>42</v>
      </c>
      <c r="E15" s="2" t="s">
        <v>43</v>
      </c>
      <c r="F15" s="3" t="s">
        <v>44</v>
      </c>
      <c r="H15" s="19" t="s">
        <v>151</v>
      </c>
      <c r="I15" s="17">
        <v>50</v>
      </c>
    </row>
    <row r="16" spans="2:9" x14ac:dyDescent="0.35">
      <c r="B16" s="2" t="s">
        <v>45</v>
      </c>
      <c r="C16" s="3" t="s">
        <v>46</v>
      </c>
      <c r="E16" s="2" t="s">
        <v>47</v>
      </c>
      <c r="F16" s="3" t="s">
        <v>48</v>
      </c>
    </row>
    <row r="17" spans="2:9" x14ac:dyDescent="0.35">
      <c r="B17" s="2" t="s">
        <v>57</v>
      </c>
      <c r="C17" s="3" t="s">
        <v>58</v>
      </c>
      <c r="E17" s="2" t="s">
        <v>49</v>
      </c>
      <c r="F17" s="3" t="s">
        <v>50</v>
      </c>
    </row>
    <row r="18" spans="2:9" ht="15" thickBot="1" x14ac:dyDescent="0.4">
      <c r="B18" s="2" t="s">
        <v>59</v>
      </c>
      <c r="C18" s="3" t="s">
        <v>60</v>
      </c>
      <c r="E18" s="2" t="s">
        <v>51</v>
      </c>
      <c r="F18" s="3" t="s">
        <v>52</v>
      </c>
      <c r="H18" s="16" t="s">
        <v>0</v>
      </c>
      <c r="I18" s="16" t="s">
        <v>154</v>
      </c>
    </row>
    <row r="19" spans="2:9" ht="15" thickTop="1" x14ac:dyDescent="0.35">
      <c r="B19" s="2" t="s">
        <v>63</v>
      </c>
      <c r="C19" s="3" t="s">
        <v>64</v>
      </c>
      <c r="E19" s="2" t="s">
        <v>53</v>
      </c>
      <c r="F19" s="3" t="s">
        <v>54</v>
      </c>
      <c r="H19" s="5" t="s">
        <v>97</v>
      </c>
      <c r="I19" s="6" t="s">
        <v>98</v>
      </c>
    </row>
    <row r="20" spans="2:9" x14ac:dyDescent="0.35">
      <c r="B20" s="2" t="s">
        <v>67</v>
      </c>
      <c r="C20" s="3" t="s">
        <v>68</v>
      </c>
      <c r="E20" s="2" t="s">
        <v>61</v>
      </c>
      <c r="F20" s="3" t="s">
        <v>62</v>
      </c>
    </row>
    <row r="21" spans="2:9" x14ac:dyDescent="0.35">
      <c r="B21" s="2" t="s">
        <v>83</v>
      </c>
      <c r="C21" s="3" t="s">
        <v>84</v>
      </c>
      <c r="E21" s="2" t="s">
        <v>67</v>
      </c>
      <c r="F21" s="3" t="s">
        <v>68</v>
      </c>
    </row>
    <row r="22" spans="2:9" ht="15" thickBot="1" x14ac:dyDescent="0.4">
      <c r="B22" s="2" t="s">
        <v>85</v>
      </c>
      <c r="C22" s="3" t="s">
        <v>86</v>
      </c>
      <c r="E22" s="2" t="s">
        <v>79</v>
      </c>
      <c r="F22" s="3" t="s">
        <v>80</v>
      </c>
      <c r="H22" s="33" t="s">
        <v>160</v>
      </c>
      <c r="I22" s="34"/>
    </row>
    <row r="23" spans="2:9" ht="15" thickTop="1" x14ac:dyDescent="0.35">
      <c r="B23" s="2" t="s">
        <v>91</v>
      </c>
      <c r="C23" s="3" t="s">
        <v>92</v>
      </c>
      <c r="E23" s="2" t="s">
        <v>85</v>
      </c>
      <c r="F23" s="3" t="s">
        <v>86</v>
      </c>
      <c r="H23" s="18" t="s">
        <v>148</v>
      </c>
      <c r="I23" t="s">
        <v>152</v>
      </c>
    </row>
    <row r="24" spans="2:9" x14ac:dyDescent="0.35">
      <c r="B24" s="2" t="s">
        <v>99</v>
      </c>
      <c r="C24" s="3" t="s">
        <v>100</v>
      </c>
      <c r="E24" s="2" t="s">
        <v>87</v>
      </c>
      <c r="F24" s="3" t="s">
        <v>88</v>
      </c>
      <c r="H24" s="19" t="s">
        <v>158</v>
      </c>
      <c r="I24" s="17">
        <v>22</v>
      </c>
    </row>
    <row r="25" spans="2:9" x14ac:dyDescent="0.35">
      <c r="B25" s="2" t="s">
        <v>101</v>
      </c>
      <c r="C25" s="3" t="s">
        <v>102</v>
      </c>
      <c r="E25" s="2" t="s">
        <v>89</v>
      </c>
      <c r="F25" s="3" t="s">
        <v>90</v>
      </c>
      <c r="H25" s="19" t="s">
        <v>159</v>
      </c>
      <c r="I25" s="17">
        <v>15</v>
      </c>
    </row>
    <row r="26" spans="2:9" x14ac:dyDescent="0.35">
      <c r="B26" s="2" t="s">
        <v>105</v>
      </c>
      <c r="C26" s="3" t="s">
        <v>106</v>
      </c>
      <c r="E26" s="2" t="s">
        <v>95</v>
      </c>
      <c r="F26" s="3" t="s">
        <v>96</v>
      </c>
      <c r="H26" s="19" t="s">
        <v>157</v>
      </c>
      <c r="I26" s="17">
        <v>8</v>
      </c>
    </row>
    <row r="27" spans="2:9" x14ac:dyDescent="0.35">
      <c r="B27" s="2" t="s">
        <v>115</v>
      </c>
      <c r="C27" s="3" t="s">
        <v>116</v>
      </c>
      <c r="E27" s="5" t="s">
        <v>113</v>
      </c>
      <c r="F27" s="6" t="s">
        <v>114</v>
      </c>
      <c r="H27" s="19" t="s">
        <v>150</v>
      </c>
      <c r="I27" s="17">
        <v>5</v>
      </c>
    </row>
    <row r="28" spans="2:9" x14ac:dyDescent="0.35">
      <c r="B28" s="5" t="s">
        <v>123</v>
      </c>
      <c r="C28" s="6" t="s">
        <v>124</v>
      </c>
      <c r="H28" s="19" t="s">
        <v>151</v>
      </c>
      <c r="I28" s="17">
        <v>50</v>
      </c>
    </row>
    <row r="29" spans="2:9" ht="15" thickBot="1" x14ac:dyDescent="0.4"/>
    <row r="30" spans="2:9" ht="15" thickBot="1" x14ac:dyDescent="0.4">
      <c r="B30" s="24" t="s">
        <v>146</v>
      </c>
      <c r="C30" s="10">
        <f>COUNTIF(C12:C28,"Generic*")</f>
        <v>17</v>
      </c>
      <c r="E30" s="24" t="s">
        <v>146</v>
      </c>
      <c r="F30" s="10">
        <f>COUNTIF(F12:F27,"Generic*")</f>
        <v>16</v>
      </c>
    </row>
  </sheetData>
  <mergeCells count="3">
    <mergeCell ref="H11:I11"/>
    <mergeCell ref="H22:I22"/>
    <mergeCell ref="B2:I2"/>
  </mergeCells>
  <pageMargins left="0.7" right="0.7" top="0.75" bottom="0.75" header="0.3" footer="0.3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1"/>
  <sheetViews>
    <sheetView topLeftCell="B1" workbookViewId="0">
      <selection activeCell="J14" sqref="J14"/>
    </sheetView>
  </sheetViews>
  <sheetFormatPr defaultRowHeight="14.5" x14ac:dyDescent="0.35"/>
  <cols>
    <col min="1" max="1" width="0" hidden="1" customWidth="1"/>
    <col min="2" max="2" width="14.1796875" bestFit="1" customWidth="1"/>
    <col min="3" max="3" width="15.453125" customWidth="1"/>
    <col min="5" max="5" width="11.7265625" customWidth="1"/>
    <col min="6" max="6" width="13.90625" customWidth="1"/>
  </cols>
  <sheetData>
    <row r="1" spans="1:6" x14ac:dyDescent="0.35">
      <c r="A1" t="s">
        <v>125</v>
      </c>
      <c r="B1" t="s">
        <v>163</v>
      </c>
      <c r="C1" t="s">
        <v>0</v>
      </c>
      <c r="D1" t="s">
        <v>4</v>
      </c>
      <c r="E1" t="s">
        <v>126</v>
      </c>
      <c r="F1" t="s">
        <v>127</v>
      </c>
    </row>
    <row r="2" spans="1:6" x14ac:dyDescent="0.35">
      <c r="A2">
        <v>1</v>
      </c>
      <c r="B2" t="str">
        <f>CHOOSE(Table2[[#This Row],[Month]], "Jan","Feb","Mar","Apr","May","Jun","Jul","Aug","Sep","Oct","Nov","Dec")</f>
        <v>Jan</v>
      </c>
      <c r="C2" t="s">
        <v>8</v>
      </c>
      <c r="D2" t="s">
        <v>31</v>
      </c>
      <c r="E2">
        <v>2269</v>
      </c>
      <c r="F2">
        <v>272280</v>
      </c>
    </row>
    <row r="3" spans="1:6" x14ac:dyDescent="0.35">
      <c r="A3">
        <v>1</v>
      </c>
      <c r="B3" t="str">
        <f>CHOOSE(Table2[[#This Row],[Month]], "Jan","Feb","Mar","Apr","May","Jun","Jul","Aug","Sep","Oct","Nov","Dec")</f>
        <v>Jan</v>
      </c>
      <c r="C3" t="s">
        <v>15</v>
      </c>
      <c r="D3" t="s">
        <v>11</v>
      </c>
      <c r="E3">
        <v>4140</v>
      </c>
      <c r="F3">
        <v>107640</v>
      </c>
    </row>
    <row r="4" spans="1:6" x14ac:dyDescent="0.35">
      <c r="A4">
        <v>1</v>
      </c>
      <c r="B4" t="str">
        <f>CHOOSE(Table2[[#This Row],[Month]], "Jan","Feb","Mar","Apr","May","Jun","Jul","Aug","Sep","Oct","Nov","Dec")</f>
        <v>Jan</v>
      </c>
      <c r="C4" t="s">
        <v>19</v>
      </c>
      <c r="D4" t="s">
        <v>11</v>
      </c>
      <c r="E4">
        <v>1402</v>
      </c>
      <c r="F4">
        <v>162632</v>
      </c>
    </row>
    <row r="5" spans="1:6" x14ac:dyDescent="0.35">
      <c r="A5">
        <v>1</v>
      </c>
      <c r="B5" t="str">
        <f>CHOOSE(Table2[[#This Row],[Month]], "Jan","Feb","Mar","Apr","May","Jun","Jul","Aug","Sep","Oct","Nov","Dec")</f>
        <v>Jan</v>
      </c>
      <c r="C5" t="s">
        <v>24</v>
      </c>
      <c r="D5" t="s">
        <v>11</v>
      </c>
      <c r="E5">
        <v>4455</v>
      </c>
      <c r="F5">
        <v>182655</v>
      </c>
    </row>
    <row r="6" spans="1:6" x14ac:dyDescent="0.35">
      <c r="A6">
        <v>1</v>
      </c>
      <c r="B6" t="str">
        <f>CHOOSE(Table2[[#This Row],[Month]], "Jan","Feb","Mar","Apr","May","Jun","Jul","Aug","Sep","Oct","Nov","Dec")</f>
        <v>Jan</v>
      </c>
      <c r="C6" t="s">
        <v>28</v>
      </c>
      <c r="D6" t="s">
        <v>31</v>
      </c>
      <c r="E6">
        <v>4819</v>
      </c>
      <c r="F6">
        <v>395158</v>
      </c>
    </row>
    <row r="7" spans="1:6" x14ac:dyDescent="0.35">
      <c r="A7">
        <v>1</v>
      </c>
      <c r="B7" t="str">
        <f>CHOOSE(Table2[[#This Row],[Month]], "Jan","Feb","Mar","Apr","May","Jun","Jul","Aug","Sep","Oct","Nov","Dec")</f>
        <v>Jan</v>
      </c>
      <c r="C7" t="s">
        <v>33</v>
      </c>
      <c r="D7" t="s">
        <v>17</v>
      </c>
      <c r="E7">
        <v>1115</v>
      </c>
      <c r="F7">
        <v>134915</v>
      </c>
    </row>
    <row r="8" spans="1:6" x14ac:dyDescent="0.35">
      <c r="A8">
        <v>1</v>
      </c>
      <c r="B8" t="str">
        <f>CHOOSE(Table2[[#This Row],[Month]], "Jan","Feb","Mar","Apr","May","Jun","Jul","Aug","Sep","Oct","Nov","Dec")</f>
        <v>Jan</v>
      </c>
      <c r="C8" t="s">
        <v>36</v>
      </c>
      <c r="D8" t="s">
        <v>31</v>
      </c>
      <c r="E8">
        <v>1832</v>
      </c>
      <c r="F8">
        <v>214344</v>
      </c>
    </row>
    <row r="9" spans="1:6" x14ac:dyDescent="0.35">
      <c r="A9">
        <v>1</v>
      </c>
      <c r="B9" t="str">
        <f>CHOOSE(Table2[[#This Row],[Month]], "Jan","Feb","Mar","Apr","May","Jun","Jul","Aug","Sep","Oct","Nov","Dec")</f>
        <v>Jan</v>
      </c>
      <c r="C9" t="s">
        <v>39</v>
      </c>
      <c r="D9" t="s">
        <v>11</v>
      </c>
      <c r="E9">
        <v>683</v>
      </c>
      <c r="F9">
        <v>17758</v>
      </c>
    </row>
    <row r="10" spans="1:6" x14ac:dyDescent="0.35">
      <c r="A10">
        <v>1</v>
      </c>
      <c r="B10" t="str">
        <f>CHOOSE(Table2[[#This Row],[Month]], "Jan","Feb","Mar","Apr","May","Jun","Jul","Aug","Sep","Oct","Nov","Dec")</f>
        <v>Jan</v>
      </c>
      <c r="C10" t="s">
        <v>41</v>
      </c>
      <c r="D10" t="s">
        <v>11</v>
      </c>
      <c r="E10">
        <v>2459</v>
      </c>
      <c r="F10">
        <v>228687</v>
      </c>
    </row>
    <row r="11" spans="1:6" x14ac:dyDescent="0.35">
      <c r="A11">
        <v>1</v>
      </c>
      <c r="B11" t="str">
        <f>CHOOSE(Table2[[#This Row],[Month]], "Jan","Feb","Mar","Apr","May","Jun","Jul","Aug","Sep","Oct","Nov","Dec")</f>
        <v>Jan</v>
      </c>
      <c r="C11" t="s">
        <v>43</v>
      </c>
      <c r="D11" t="s">
        <v>17</v>
      </c>
      <c r="E11">
        <v>3152</v>
      </c>
      <c r="F11">
        <v>438128</v>
      </c>
    </row>
    <row r="12" spans="1:6" x14ac:dyDescent="0.35">
      <c r="A12">
        <v>1</v>
      </c>
      <c r="B12" t="str">
        <f>CHOOSE(Table2[[#This Row],[Month]], "Jan","Feb","Mar","Apr","May","Jun","Jul","Aug","Sep","Oct","Nov","Dec")</f>
        <v>Jan</v>
      </c>
      <c r="C12" t="s">
        <v>45</v>
      </c>
      <c r="D12" t="s">
        <v>31</v>
      </c>
      <c r="E12">
        <v>4552</v>
      </c>
      <c r="F12">
        <v>559896</v>
      </c>
    </row>
    <row r="13" spans="1:6" x14ac:dyDescent="0.35">
      <c r="A13">
        <v>1</v>
      </c>
      <c r="B13" t="str">
        <f>CHOOSE(Table2[[#This Row],[Month]], "Jan","Feb","Mar","Apr","May","Jun","Jul","Aug","Sep","Oct","Nov","Dec")</f>
        <v>Jan</v>
      </c>
      <c r="C13" t="s">
        <v>47</v>
      </c>
      <c r="D13" t="s">
        <v>31</v>
      </c>
      <c r="E13">
        <v>1534</v>
      </c>
      <c r="F13">
        <v>179478</v>
      </c>
    </row>
    <row r="14" spans="1:6" x14ac:dyDescent="0.35">
      <c r="A14">
        <v>1</v>
      </c>
      <c r="B14" t="str">
        <f>CHOOSE(Table2[[#This Row],[Month]], "Jan","Feb","Mar","Apr","May","Jun","Jul","Aug","Sep","Oct","Nov","Dec")</f>
        <v>Jan</v>
      </c>
      <c r="C14" t="s">
        <v>49</v>
      </c>
      <c r="D14" t="s">
        <v>31</v>
      </c>
      <c r="E14">
        <v>622</v>
      </c>
      <c r="F14">
        <v>15550</v>
      </c>
    </row>
    <row r="15" spans="1:6" x14ac:dyDescent="0.35">
      <c r="A15">
        <v>1</v>
      </c>
      <c r="B15" t="str">
        <f>CHOOSE(Table2[[#This Row],[Month]], "Jan","Feb","Mar","Apr","May","Jun","Jul","Aug","Sep","Oct","Nov","Dec")</f>
        <v>Jan</v>
      </c>
      <c r="C15" t="s">
        <v>51</v>
      </c>
      <c r="D15" t="s">
        <v>31</v>
      </c>
      <c r="E15">
        <v>3651</v>
      </c>
      <c r="F15">
        <v>83973</v>
      </c>
    </row>
    <row r="16" spans="1:6" x14ac:dyDescent="0.35">
      <c r="A16">
        <v>1</v>
      </c>
      <c r="B16" t="str">
        <f>CHOOSE(Table2[[#This Row],[Month]], "Jan","Feb","Mar","Apr","May","Jun","Jul","Aug","Sep","Oct","Nov","Dec")</f>
        <v>Jan</v>
      </c>
      <c r="C16" t="s">
        <v>53</v>
      </c>
      <c r="D16" t="s">
        <v>31</v>
      </c>
      <c r="E16">
        <v>4030</v>
      </c>
      <c r="F16">
        <v>193440</v>
      </c>
    </row>
    <row r="17" spans="1:6" x14ac:dyDescent="0.35">
      <c r="A17">
        <v>1</v>
      </c>
      <c r="B17" t="str">
        <f>CHOOSE(Table2[[#This Row],[Month]], "Jan","Feb","Mar","Apr","May","Jun","Jul","Aug","Sep","Oct","Nov","Dec")</f>
        <v>Jan</v>
      </c>
      <c r="C17" t="s">
        <v>55</v>
      </c>
      <c r="D17" t="s">
        <v>17</v>
      </c>
      <c r="E17">
        <v>3951</v>
      </c>
      <c r="F17">
        <v>79020</v>
      </c>
    </row>
    <row r="18" spans="1:6" x14ac:dyDescent="0.35">
      <c r="A18">
        <v>1</v>
      </c>
      <c r="B18" t="str">
        <f>CHOOSE(Table2[[#This Row],[Month]], "Jan","Feb","Mar","Apr","May","Jun","Jul","Aug","Sep","Oct","Nov","Dec")</f>
        <v>Jan</v>
      </c>
      <c r="C18" t="s">
        <v>57</v>
      </c>
      <c r="D18" t="s">
        <v>21</v>
      </c>
      <c r="E18">
        <v>4723</v>
      </c>
      <c r="F18">
        <v>613990</v>
      </c>
    </row>
    <row r="19" spans="1:6" x14ac:dyDescent="0.35">
      <c r="A19">
        <v>1</v>
      </c>
      <c r="B19" t="str">
        <f>CHOOSE(Table2[[#This Row],[Month]], "Jan","Feb","Mar","Apr","May","Jun","Jul","Aug","Sep","Oct","Nov","Dec")</f>
        <v>Jan</v>
      </c>
      <c r="C19" t="s">
        <v>59</v>
      </c>
      <c r="D19" t="s">
        <v>17</v>
      </c>
      <c r="E19">
        <v>2025</v>
      </c>
      <c r="F19">
        <v>83025</v>
      </c>
    </row>
    <row r="20" spans="1:6" x14ac:dyDescent="0.35">
      <c r="A20">
        <v>1</v>
      </c>
      <c r="B20" t="str">
        <f>CHOOSE(Table2[[#This Row],[Month]], "Jan","Feb","Mar","Apr","May","Jun","Jul","Aug","Sep","Oct","Nov","Dec")</f>
        <v>Jan</v>
      </c>
      <c r="C20" t="s">
        <v>61</v>
      </c>
      <c r="D20" t="s">
        <v>11</v>
      </c>
      <c r="E20">
        <v>4772</v>
      </c>
      <c r="F20">
        <v>152704</v>
      </c>
    </row>
    <row r="21" spans="1:6" x14ac:dyDescent="0.35">
      <c r="A21">
        <v>1</v>
      </c>
      <c r="B21" t="str">
        <f>CHOOSE(Table2[[#This Row],[Month]], "Jan","Feb","Mar","Apr","May","Jun","Jul","Aug","Sep","Oct","Nov","Dec")</f>
        <v>Jan</v>
      </c>
      <c r="C21" t="s">
        <v>63</v>
      </c>
      <c r="D21" t="s">
        <v>31</v>
      </c>
      <c r="E21">
        <v>4653</v>
      </c>
      <c r="F21">
        <v>660726</v>
      </c>
    </row>
    <row r="22" spans="1:6" x14ac:dyDescent="0.35">
      <c r="A22">
        <v>1</v>
      </c>
      <c r="B22" t="str">
        <f>CHOOSE(Table2[[#This Row],[Month]], "Jan","Feb","Mar","Apr","May","Jun","Jul","Aug","Sep","Oct","Nov","Dec")</f>
        <v>Jan</v>
      </c>
      <c r="C22" t="s">
        <v>65</v>
      </c>
      <c r="D22" t="s">
        <v>31</v>
      </c>
      <c r="E22">
        <v>2705</v>
      </c>
      <c r="F22">
        <v>254270</v>
      </c>
    </row>
    <row r="23" spans="1:6" x14ac:dyDescent="0.35">
      <c r="A23">
        <v>1</v>
      </c>
      <c r="B23" t="str">
        <f>CHOOSE(Table2[[#This Row],[Month]], "Jan","Feb","Mar","Apr","May","Jun","Jul","Aug","Sep","Oct","Nov","Dec")</f>
        <v>Jan</v>
      </c>
      <c r="C23" t="s">
        <v>67</v>
      </c>
      <c r="D23" t="s">
        <v>11</v>
      </c>
      <c r="E23">
        <v>1733</v>
      </c>
      <c r="F23">
        <v>164635</v>
      </c>
    </row>
    <row r="24" spans="1:6" x14ac:dyDescent="0.35">
      <c r="A24">
        <v>1</v>
      </c>
      <c r="B24" t="str">
        <f>CHOOSE(Table2[[#This Row],[Month]], "Jan","Feb","Mar","Apr","May","Jun","Jul","Aug","Sep","Oct","Nov","Dec")</f>
        <v>Jan</v>
      </c>
      <c r="C24" t="s">
        <v>69</v>
      </c>
      <c r="D24" t="s">
        <v>31</v>
      </c>
      <c r="E24">
        <v>2021</v>
      </c>
      <c r="F24">
        <v>175827</v>
      </c>
    </row>
    <row r="25" spans="1:6" x14ac:dyDescent="0.35">
      <c r="A25">
        <v>1</v>
      </c>
      <c r="B25" t="str">
        <f>CHOOSE(Table2[[#This Row],[Month]], "Jan","Feb","Mar","Apr","May","Jun","Jul","Aug","Sep","Oct","Nov","Dec")</f>
        <v>Jan</v>
      </c>
      <c r="C25" t="s">
        <v>71</v>
      </c>
      <c r="D25" t="s">
        <v>17</v>
      </c>
      <c r="E25">
        <v>3861</v>
      </c>
      <c r="F25">
        <v>401544</v>
      </c>
    </row>
    <row r="26" spans="1:6" x14ac:dyDescent="0.35">
      <c r="A26">
        <v>1</v>
      </c>
      <c r="B26" t="str">
        <f>CHOOSE(Table2[[#This Row],[Month]], "Jan","Feb","Mar","Apr","May","Jun","Jul","Aug","Sep","Oct","Nov","Dec")</f>
        <v>Jan</v>
      </c>
      <c r="C26" t="s">
        <v>73</v>
      </c>
      <c r="D26" t="s">
        <v>21</v>
      </c>
      <c r="E26">
        <v>2633</v>
      </c>
      <c r="F26">
        <v>350189</v>
      </c>
    </row>
    <row r="27" spans="1:6" x14ac:dyDescent="0.35">
      <c r="A27">
        <v>1</v>
      </c>
      <c r="B27" t="str">
        <f>CHOOSE(Table2[[#This Row],[Month]], "Jan","Feb","Mar","Apr","May","Jun","Jul","Aug","Sep","Oct","Nov","Dec")</f>
        <v>Jan</v>
      </c>
      <c r="C27" t="s">
        <v>75</v>
      </c>
      <c r="D27" t="s">
        <v>11</v>
      </c>
      <c r="E27">
        <v>3752</v>
      </c>
      <c r="F27">
        <v>172592</v>
      </c>
    </row>
    <row r="28" spans="1:6" x14ac:dyDescent="0.35">
      <c r="A28">
        <v>1</v>
      </c>
      <c r="B28" t="str">
        <f>CHOOSE(Table2[[#This Row],[Month]], "Jan","Feb","Mar","Apr","May","Jun","Jul","Aug","Sep","Oct","Nov","Dec")</f>
        <v>Jan</v>
      </c>
      <c r="C28" t="s">
        <v>77</v>
      </c>
      <c r="D28" t="s">
        <v>21</v>
      </c>
      <c r="E28">
        <v>557</v>
      </c>
      <c r="F28">
        <v>49016</v>
      </c>
    </row>
    <row r="29" spans="1:6" x14ac:dyDescent="0.35">
      <c r="A29">
        <v>1</v>
      </c>
      <c r="B29" t="str">
        <f>CHOOSE(Table2[[#This Row],[Month]], "Jan","Feb","Mar","Apr","May","Jun","Jul","Aug","Sep","Oct","Nov","Dec")</f>
        <v>Jan</v>
      </c>
      <c r="C29" t="s">
        <v>79</v>
      </c>
      <c r="D29" t="s">
        <v>11</v>
      </c>
      <c r="E29">
        <v>1427</v>
      </c>
      <c r="F29">
        <v>69923</v>
      </c>
    </row>
    <row r="30" spans="1:6" x14ac:dyDescent="0.35">
      <c r="A30">
        <v>1</v>
      </c>
      <c r="B30" t="str">
        <f>CHOOSE(Table2[[#This Row],[Month]], "Jan","Feb","Mar","Apr","May","Jun","Jul","Aug","Sep","Oct","Nov","Dec")</f>
        <v>Jan</v>
      </c>
      <c r="C30" t="s">
        <v>81</v>
      </c>
      <c r="D30" t="s">
        <v>31</v>
      </c>
      <c r="E30">
        <v>2928</v>
      </c>
      <c r="F30">
        <v>143472</v>
      </c>
    </row>
    <row r="31" spans="1:6" x14ac:dyDescent="0.35">
      <c r="A31">
        <v>1</v>
      </c>
      <c r="B31" t="str">
        <f>CHOOSE(Table2[[#This Row],[Month]], "Jan","Feb","Mar","Apr","May","Jun","Jul","Aug","Sep","Oct","Nov","Dec")</f>
        <v>Jan</v>
      </c>
      <c r="C31" t="s">
        <v>83</v>
      </c>
      <c r="D31" t="s">
        <v>11</v>
      </c>
      <c r="E31">
        <v>1722</v>
      </c>
      <c r="F31">
        <v>48216</v>
      </c>
    </row>
    <row r="32" spans="1:6" x14ac:dyDescent="0.35">
      <c r="A32">
        <v>1</v>
      </c>
      <c r="B32" t="str">
        <f>CHOOSE(Table2[[#This Row],[Month]], "Jan","Feb","Mar","Apr","May","Jun","Jul","Aug","Sep","Oct","Nov","Dec")</f>
        <v>Jan</v>
      </c>
      <c r="C32" t="s">
        <v>85</v>
      </c>
      <c r="D32" t="s">
        <v>31</v>
      </c>
      <c r="E32">
        <v>4937</v>
      </c>
      <c r="F32">
        <v>705991</v>
      </c>
    </row>
    <row r="33" spans="1:6" x14ac:dyDescent="0.35">
      <c r="A33">
        <v>1</v>
      </c>
      <c r="B33" t="str">
        <f>CHOOSE(Table2[[#This Row],[Month]], "Jan","Feb","Mar","Apr","May","Jun","Jul","Aug","Sep","Oct","Nov","Dec")</f>
        <v>Jan</v>
      </c>
      <c r="C33" t="s">
        <v>87</v>
      </c>
      <c r="D33" t="s">
        <v>21</v>
      </c>
      <c r="E33">
        <v>3803</v>
      </c>
      <c r="F33">
        <v>551435</v>
      </c>
    </row>
    <row r="34" spans="1:6" x14ac:dyDescent="0.35">
      <c r="A34">
        <v>1</v>
      </c>
      <c r="B34" t="str">
        <f>CHOOSE(Table2[[#This Row],[Month]], "Jan","Feb","Mar","Apr","May","Jun","Jul","Aug","Sep","Oct","Nov","Dec")</f>
        <v>Jan</v>
      </c>
      <c r="C34" t="s">
        <v>89</v>
      </c>
      <c r="D34" t="s">
        <v>11</v>
      </c>
      <c r="E34">
        <v>3575</v>
      </c>
      <c r="F34">
        <v>207350</v>
      </c>
    </row>
    <row r="35" spans="1:6" x14ac:dyDescent="0.35">
      <c r="A35">
        <v>1</v>
      </c>
      <c r="B35" t="str">
        <f>CHOOSE(Table2[[#This Row],[Month]], "Jan","Feb","Mar","Apr","May","Jun","Jul","Aug","Sep","Oct","Nov","Dec")</f>
        <v>Jan</v>
      </c>
      <c r="C35" t="s">
        <v>91</v>
      </c>
      <c r="D35" t="s">
        <v>21</v>
      </c>
      <c r="E35">
        <v>3581</v>
      </c>
      <c r="F35">
        <v>379586</v>
      </c>
    </row>
    <row r="36" spans="1:6" x14ac:dyDescent="0.35">
      <c r="A36">
        <v>1</v>
      </c>
      <c r="B36" t="str">
        <f>CHOOSE(Table2[[#This Row],[Month]], "Jan","Feb","Mar","Apr","May","Jun","Jul","Aug","Sep","Oct","Nov","Dec")</f>
        <v>Jan</v>
      </c>
      <c r="C36" t="s">
        <v>93</v>
      </c>
      <c r="D36" t="s">
        <v>17</v>
      </c>
      <c r="E36">
        <v>2480</v>
      </c>
      <c r="F36">
        <v>116560</v>
      </c>
    </row>
    <row r="37" spans="1:6" x14ac:dyDescent="0.35">
      <c r="A37">
        <v>1</v>
      </c>
      <c r="B37" t="str">
        <f>CHOOSE(Table2[[#This Row],[Month]], "Jan","Feb","Mar","Apr","May","Jun","Jul","Aug","Sep","Oct","Nov","Dec")</f>
        <v>Jan</v>
      </c>
      <c r="C37" t="s">
        <v>95</v>
      </c>
      <c r="D37" t="s">
        <v>11</v>
      </c>
      <c r="E37">
        <v>2785</v>
      </c>
      <c r="F37">
        <v>217230</v>
      </c>
    </row>
    <row r="38" spans="1:6" x14ac:dyDescent="0.35">
      <c r="A38">
        <v>1</v>
      </c>
      <c r="B38" t="str">
        <f>CHOOSE(Table2[[#This Row],[Month]], "Jan","Feb","Mar","Apr","May","Jun","Jul","Aug","Sep","Oct","Nov","Dec")</f>
        <v>Jan</v>
      </c>
      <c r="C38" t="s">
        <v>97</v>
      </c>
      <c r="D38" t="s">
        <v>17</v>
      </c>
      <c r="E38">
        <v>364</v>
      </c>
      <c r="F38">
        <v>20384</v>
      </c>
    </row>
    <row r="39" spans="1:6" x14ac:dyDescent="0.35">
      <c r="A39">
        <v>1</v>
      </c>
      <c r="B39" t="str">
        <f>CHOOSE(Table2[[#This Row],[Month]], "Jan","Feb","Mar","Apr","May","Jun","Jul","Aug","Sep","Oct","Nov","Dec")</f>
        <v>Jan</v>
      </c>
      <c r="C39" t="s">
        <v>99</v>
      </c>
      <c r="D39" t="s">
        <v>21</v>
      </c>
      <c r="E39">
        <v>3426</v>
      </c>
      <c r="F39">
        <v>400842</v>
      </c>
    </row>
    <row r="40" spans="1:6" x14ac:dyDescent="0.35">
      <c r="A40">
        <v>1</v>
      </c>
      <c r="B40" t="str">
        <f>CHOOSE(Table2[[#This Row],[Month]], "Jan","Feb","Mar","Apr","May","Jun","Jul","Aug","Sep","Oct","Nov","Dec")</f>
        <v>Jan</v>
      </c>
      <c r="C40" t="s">
        <v>101</v>
      </c>
      <c r="D40" t="s">
        <v>11</v>
      </c>
      <c r="E40">
        <v>4322</v>
      </c>
      <c r="F40">
        <v>142626</v>
      </c>
    </row>
    <row r="41" spans="1:6" x14ac:dyDescent="0.35">
      <c r="A41">
        <v>1</v>
      </c>
      <c r="B41" t="str">
        <f>CHOOSE(Table2[[#This Row],[Month]], "Jan","Feb","Mar","Apr","May","Jun","Jul","Aug","Sep","Oct","Nov","Dec")</f>
        <v>Jan</v>
      </c>
      <c r="C41" t="s">
        <v>103</v>
      </c>
      <c r="D41" t="s">
        <v>21</v>
      </c>
      <c r="E41">
        <v>930</v>
      </c>
      <c r="F41">
        <v>53940</v>
      </c>
    </row>
    <row r="42" spans="1:6" x14ac:dyDescent="0.35">
      <c r="A42">
        <v>1</v>
      </c>
      <c r="B42" t="str">
        <f>CHOOSE(Table2[[#This Row],[Month]], "Jan","Feb","Mar","Apr","May","Jun","Jul","Aug","Sep","Oct","Nov","Dec")</f>
        <v>Jan</v>
      </c>
      <c r="C42" t="s">
        <v>105</v>
      </c>
      <c r="D42" t="s">
        <v>21</v>
      </c>
      <c r="E42">
        <v>881</v>
      </c>
      <c r="F42">
        <v>34359</v>
      </c>
    </row>
    <row r="43" spans="1:6" x14ac:dyDescent="0.35">
      <c r="A43">
        <v>1</v>
      </c>
      <c r="B43" t="str">
        <f>CHOOSE(Table2[[#This Row],[Month]], "Jan","Feb","Mar","Apr","May","Jun","Jul","Aug","Sep","Oct","Nov","Dec")</f>
        <v>Jan</v>
      </c>
      <c r="C43" t="s">
        <v>107</v>
      </c>
      <c r="D43" t="s">
        <v>17</v>
      </c>
      <c r="E43">
        <v>1052</v>
      </c>
      <c r="F43">
        <v>35768</v>
      </c>
    </row>
    <row r="44" spans="1:6" x14ac:dyDescent="0.35">
      <c r="A44">
        <v>1</v>
      </c>
      <c r="B44" t="str">
        <f>CHOOSE(Table2[[#This Row],[Month]], "Jan","Feb","Mar","Apr","May","Jun","Jul","Aug","Sep","Oct","Nov","Dec")</f>
        <v>Jan</v>
      </c>
      <c r="C44" t="s">
        <v>109</v>
      </c>
      <c r="D44" t="s">
        <v>17</v>
      </c>
      <c r="E44">
        <v>3535</v>
      </c>
      <c r="F44">
        <v>102515</v>
      </c>
    </row>
    <row r="45" spans="1:6" x14ac:dyDescent="0.35">
      <c r="A45">
        <v>1</v>
      </c>
      <c r="B45" t="str">
        <f>CHOOSE(Table2[[#This Row],[Month]], "Jan","Feb","Mar","Apr","May","Jun","Jul","Aug","Sep","Oct","Nov","Dec")</f>
        <v>Jan</v>
      </c>
      <c r="C45" t="s">
        <v>111</v>
      </c>
      <c r="D45" t="s">
        <v>31</v>
      </c>
      <c r="E45">
        <v>1347</v>
      </c>
      <c r="F45">
        <v>40410</v>
      </c>
    </row>
    <row r="46" spans="1:6" x14ac:dyDescent="0.35">
      <c r="A46">
        <v>1</v>
      </c>
      <c r="B46" t="str">
        <f>CHOOSE(Table2[[#This Row],[Month]], "Jan","Feb","Mar","Apr","May","Jun","Jul","Aug","Sep","Oct","Nov","Dec")</f>
        <v>Jan</v>
      </c>
      <c r="C46" t="s">
        <v>113</v>
      </c>
      <c r="D46" t="s">
        <v>31</v>
      </c>
      <c r="E46">
        <v>4402</v>
      </c>
      <c r="F46">
        <v>237708</v>
      </c>
    </row>
    <row r="47" spans="1:6" x14ac:dyDescent="0.35">
      <c r="A47">
        <v>1</v>
      </c>
      <c r="B47" t="str">
        <f>CHOOSE(Table2[[#This Row],[Month]], "Jan","Feb","Mar","Apr","May","Jun","Jul","Aug","Sep","Oct","Nov","Dec")</f>
        <v>Jan</v>
      </c>
      <c r="C47" t="s">
        <v>115</v>
      </c>
      <c r="D47" t="s">
        <v>31</v>
      </c>
      <c r="E47">
        <v>4276</v>
      </c>
      <c r="F47">
        <v>111176</v>
      </c>
    </row>
    <row r="48" spans="1:6" x14ac:dyDescent="0.35">
      <c r="A48">
        <v>1</v>
      </c>
      <c r="B48" t="str">
        <f>CHOOSE(Table2[[#This Row],[Month]], "Jan","Feb","Mar","Apr","May","Jun","Jul","Aug","Sep","Oct","Nov","Dec")</f>
        <v>Jan</v>
      </c>
      <c r="C48" t="s">
        <v>117</v>
      </c>
      <c r="D48" t="s">
        <v>11</v>
      </c>
      <c r="E48">
        <v>3001</v>
      </c>
      <c r="F48">
        <v>219073</v>
      </c>
    </row>
    <row r="49" spans="1:6" x14ac:dyDescent="0.35">
      <c r="A49">
        <v>1</v>
      </c>
      <c r="B49" t="str">
        <f>CHOOSE(Table2[[#This Row],[Month]], "Jan","Feb","Mar","Apr","May","Jun","Jul","Aug","Sep","Oct","Nov","Dec")</f>
        <v>Jan</v>
      </c>
      <c r="C49" t="s">
        <v>119</v>
      </c>
      <c r="D49" t="s">
        <v>11</v>
      </c>
      <c r="E49">
        <v>3028</v>
      </c>
      <c r="F49">
        <v>333080</v>
      </c>
    </row>
    <row r="50" spans="1:6" x14ac:dyDescent="0.35">
      <c r="A50">
        <v>1</v>
      </c>
      <c r="B50" t="str">
        <f>CHOOSE(Table2[[#This Row],[Month]], "Jan","Feb","Mar","Apr","May","Jun","Jul","Aug","Sep","Oct","Nov","Dec")</f>
        <v>Jan</v>
      </c>
      <c r="C50" t="s">
        <v>121</v>
      </c>
      <c r="D50" t="s">
        <v>17</v>
      </c>
      <c r="E50">
        <v>4512</v>
      </c>
      <c r="F50">
        <v>658752</v>
      </c>
    </row>
    <row r="51" spans="1:6" x14ac:dyDescent="0.35">
      <c r="A51">
        <v>1</v>
      </c>
      <c r="B51" t="str">
        <f>CHOOSE(Table2[[#This Row],[Month]], "Jan","Feb","Mar","Apr","May","Jun","Jul","Aug","Sep","Oct","Nov","Dec")</f>
        <v>Jan</v>
      </c>
      <c r="C51" t="s">
        <v>123</v>
      </c>
      <c r="D51" t="s">
        <v>11</v>
      </c>
      <c r="E51">
        <v>3390</v>
      </c>
      <c r="F51">
        <v>349170</v>
      </c>
    </row>
    <row r="52" spans="1:6" x14ac:dyDescent="0.35">
      <c r="A52">
        <v>2</v>
      </c>
      <c r="B52" t="str">
        <f>CHOOSE(Table2[[#This Row],[Month]], "Jan","Feb","Mar","Apr","May","Jun","Jul","Aug","Sep","Oct","Nov","Dec")</f>
        <v>Feb</v>
      </c>
      <c r="C52" t="s">
        <v>8</v>
      </c>
      <c r="D52" t="s">
        <v>17</v>
      </c>
      <c r="E52">
        <v>3155</v>
      </c>
      <c r="F52">
        <v>448010</v>
      </c>
    </row>
    <row r="53" spans="1:6" x14ac:dyDescent="0.35">
      <c r="A53">
        <v>2</v>
      </c>
      <c r="B53" t="str">
        <f>CHOOSE(Table2[[#This Row],[Month]], "Jan","Feb","Mar","Apr","May","Jun","Jul","Aug","Sep","Oct","Nov","Dec")</f>
        <v>Feb</v>
      </c>
      <c r="C53" t="s">
        <v>15</v>
      </c>
      <c r="D53" t="s">
        <v>17</v>
      </c>
      <c r="E53">
        <v>806</v>
      </c>
      <c r="F53">
        <v>118482</v>
      </c>
    </row>
    <row r="54" spans="1:6" x14ac:dyDescent="0.35">
      <c r="A54">
        <v>2</v>
      </c>
      <c r="B54" t="str">
        <f>CHOOSE(Table2[[#This Row],[Month]], "Jan","Feb","Mar","Apr","May","Jun","Jul","Aug","Sep","Oct","Nov","Dec")</f>
        <v>Feb</v>
      </c>
      <c r="C54" t="s">
        <v>19</v>
      </c>
      <c r="D54" t="s">
        <v>31</v>
      </c>
      <c r="E54">
        <v>3379</v>
      </c>
      <c r="F54">
        <v>358174</v>
      </c>
    </row>
    <row r="55" spans="1:6" x14ac:dyDescent="0.35">
      <c r="A55">
        <v>2</v>
      </c>
      <c r="B55" t="str">
        <f>CHOOSE(Table2[[#This Row],[Month]], "Jan","Feb","Mar","Apr","May","Jun","Jul","Aug","Sep","Oct","Nov","Dec")</f>
        <v>Feb</v>
      </c>
      <c r="C55" t="s">
        <v>24</v>
      </c>
      <c r="D55" t="s">
        <v>11</v>
      </c>
      <c r="E55">
        <v>1308</v>
      </c>
      <c r="F55">
        <v>156960</v>
      </c>
    </row>
    <row r="56" spans="1:6" x14ac:dyDescent="0.35">
      <c r="A56">
        <v>2</v>
      </c>
      <c r="B56" t="str">
        <f>CHOOSE(Table2[[#This Row],[Month]], "Jan","Feb","Mar","Apr","May","Jun","Jul","Aug","Sep","Oct","Nov","Dec")</f>
        <v>Feb</v>
      </c>
      <c r="C56" t="s">
        <v>28</v>
      </c>
      <c r="D56" t="s">
        <v>17</v>
      </c>
      <c r="E56">
        <v>1619</v>
      </c>
      <c r="F56">
        <v>121425</v>
      </c>
    </row>
    <row r="57" spans="1:6" x14ac:dyDescent="0.35">
      <c r="A57">
        <v>2</v>
      </c>
      <c r="B57" t="str">
        <f>CHOOSE(Table2[[#This Row],[Month]], "Jan","Feb","Mar","Apr","May","Jun","Jul","Aug","Sep","Oct","Nov","Dec")</f>
        <v>Feb</v>
      </c>
      <c r="C57" t="s">
        <v>33</v>
      </c>
      <c r="D57" t="s">
        <v>31</v>
      </c>
      <c r="E57">
        <v>3015</v>
      </c>
      <c r="F57">
        <v>75375</v>
      </c>
    </row>
    <row r="58" spans="1:6" x14ac:dyDescent="0.35">
      <c r="A58">
        <v>2</v>
      </c>
      <c r="B58" t="str">
        <f>CHOOSE(Table2[[#This Row],[Month]], "Jan","Feb","Mar","Apr","May","Jun","Jul","Aug","Sep","Oct","Nov","Dec")</f>
        <v>Feb</v>
      </c>
      <c r="C58" t="s">
        <v>36</v>
      </c>
      <c r="D58" t="s">
        <v>31</v>
      </c>
      <c r="E58">
        <v>2512</v>
      </c>
      <c r="F58">
        <v>221056</v>
      </c>
    </row>
    <row r="59" spans="1:6" x14ac:dyDescent="0.35">
      <c r="A59">
        <v>2</v>
      </c>
      <c r="B59" t="str">
        <f>CHOOSE(Table2[[#This Row],[Month]], "Jan","Feb","Mar","Apr","May","Jun","Jul","Aug","Sep","Oct","Nov","Dec")</f>
        <v>Feb</v>
      </c>
      <c r="C59" t="s">
        <v>39</v>
      </c>
      <c r="D59" t="s">
        <v>31</v>
      </c>
      <c r="E59">
        <v>1933</v>
      </c>
      <c r="F59">
        <v>288017</v>
      </c>
    </row>
    <row r="60" spans="1:6" x14ac:dyDescent="0.35">
      <c r="A60">
        <v>2</v>
      </c>
      <c r="B60" t="str">
        <f>CHOOSE(Table2[[#This Row],[Month]], "Jan","Feb","Mar","Apr","May","Jun","Jul","Aug","Sep","Oct","Nov","Dec")</f>
        <v>Feb</v>
      </c>
      <c r="C60" t="s">
        <v>41</v>
      </c>
      <c r="D60" t="s">
        <v>11</v>
      </c>
      <c r="E60">
        <v>404</v>
      </c>
      <c r="F60">
        <v>39996</v>
      </c>
    </row>
    <row r="61" spans="1:6" x14ac:dyDescent="0.35">
      <c r="A61">
        <v>2</v>
      </c>
      <c r="B61" t="str">
        <f>CHOOSE(Table2[[#This Row],[Month]], "Jan","Feb","Mar","Apr","May","Jun","Jul","Aug","Sep","Oct","Nov","Dec")</f>
        <v>Feb</v>
      </c>
      <c r="C61" t="s">
        <v>43</v>
      </c>
      <c r="D61" t="s">
        <v>21</v>
      </c>
      <c r="E61">
        <v>2918</v>
      </c>
      <c r="F61">
        <v>224686</v>
      </c>
    </row>
    <row r="62" spans="1:6" x14ac:dyDescent="0.35">
      <c r="A62">
        <v>2</v>
      </c>
      <c r="B62" t="str">
        <f>CHOOSE(Table2[[#This Row],[Month]], "Jan","Feb","Mar","Apr","May","Jun","Jul","Aug","Sep","Oct","Nov","Dec")</f>
        <v>Feb</v>
      </c>
      <c r="C62" t="s">
        <v>45</v>
      </c>
      <c r="D62" t="s">
        <v>21</v>
      </c>
      <c r="E62">
        <v>1845</v>
      </c>
      <c r="F62">
        <v>225090</v>
      </c>
    </row>
    <row r="63" spans="1:6" x14ac:dyDescent="0.35">
      <c r="A63">
        <v>2</v>
      </c>
      <c r="B63" t="str">
        <f>CHOOSE(Table2[[#This Row],[Month]], "Jan","Feb","Mar","Apr","May","Jun","Jul","Aug","Sep","Oct","Nov","Dec")</f>
        <v>Feb</v>
      </c>
      <c r="C63" t="s">
        <v>47</v>
      </c>
      <c r="D63" t="s">
        <v>31</v>
      </c>
      <c r="E63">
        <v>727</v>
      </c>
      <c r="F63">
        <v>52344</v>
      </c>
    </row>
    <row r="64" spans="1:6" x14ac:dyDescent="0.35">
      <c r="A64">
        <v>2</v>
      </c>
      <c r="B64" t="str">
        <f>CHOOSE(Table2[[#This Row],[Month]], "Jan","Feb","Mar","Apr","May","Jun","Jul","Aug","Sep","Oct","Nov","Dec")</f>
        <v>Feb</v>
      </c>
      <c r="C64" t="s">
        <v>49</v>
      </c>
      <c r="D64" t="s">
        <v>21</v>
      </c>
      <c r="E64">
        <v>1276</v>
      </c>
      <c r="F64">
        <v>125048</v>
      </c>
    </row>
    <row r="65" spans="1:6" x14ac:dyDescent="0.35">
      <c r="A65">
        <v>2</v>
      </c>
      <c r="B65" t="str">
        <f>CHOOSE(Table2[[#This Row],[Month]], "Jan","Feb","Mar","Apr","May","Jun","Jul","Aug","Sep","Oct","Nov","Dec")</f>
        <v>Feb</v>
      </c>
      <c r="C65" t="s">
        <v>51</v>
      </c>
      <c r="D65" t="s">
        <v>17</v>
      </c>
      <c r="E65">
        <v>2893</v>
      </c>
      <c r="F65">
        <v>219868</v>
      </c>
    </row>
    <row r="66" spans="1:6" x14ac:dyDescent="0.35">
      <c r="A66">
        <v>2</v>
      </c>
      <c r="B66" t="str">
        <f>CHOOSE(Table2[[#This Row],[Month]], "Jan","Feb","Mar","Apr","May","Jun","Jul","Aug","Sep","Oct","Nov","Dec")</f>
        <v>Feb</v>
      </c>
      <c r="C66" t="s">
        <v>53</v>
      </c>
      <c r="D66" t="s">
        <v>17</v>
      </c>
      <c r="E66">
        <v>3315</v>
      </c>
      <c r="F66">
        <v>497250</v>
      </c>
    </row>
    <row r="67" spans="1:6" x14ac:dyDescent="0.35">
      <c r="A67">
        <v>2</v>
      </c>
      <c r="B67" t="str">
        <f>CHOOSE(Table2[[#This Row],[Month]], "Jan","Feb","Mar","Apr","May","Jun","Jul","Aug","Sep","Oct","Nov","Dec")</f>
        <v>Feb</v>
      </c>
      <c r="C67" t="s">
        <v>55</v>
      </c>
      <c r="D67" t="s">
        <v>11</v>
      </c>
      <c r="E67">
        <v>3152</v>
      </c>
      <c r="F67">
        <v>214336</v>
      </c>
    </row>
    <row r="68" spans="1:6" x14ac:dyDescent="0.35">
      <c r="A68">
        <v>2</v>
      </c>
      <c r="B68" t="str">
        <f>CHOOSE(Table2[[#This Row],[Month]], "Jan","Feb","Mar","Apr","May","Jun","Jul","Aug","Sep","Oct","Nov","Dec")</f>
        <v>Feb</v>
      </c>
      <c r="C68" t="s">
        <v>57</v>
      </c>
      <c r="D68" t="s">
        <v>31</v>
      </c>
      <c r="E68">
        <v>907</v>
      </c>
      <c r="F68">
        <v>34466</v>
      </c>
    </row>
    <row r="69" spans="1:6" x14ac:dyDescent="0.35">
      <c r="A69">
        <v>2</v>
      </c>
      <c r="B69" t="str">
        <f>CHOOSE(Table2[[#This Row],[Month]], "Jan","Feb","Mar","Apr","May","Jun","Jul","Aug","Sep","Oct","Nov","Dec")</f>
        <v>Feb</v>
      </c>
      <c r="C69" t="s">
        <v>59</v>
      </c>
      <c r="D69" t="s">
        <v>11</v>
      </c>
      <c r="E69">
        <v>315</v>
      </c>
      <c r="F69">
        <v>17640</v>
      </c>
    </row>
    <row r="70" spans="1:6" x14ac:dyDescent="0.35">
      <c r="A70">
        <v>2</v>
      </c>
      <c r="B70" t="str">
        <f>CHOOSE(Table2[[#This Row],[Month]], "Jan","Feb","Mar","Apr","May","Jun","Jul","Aug","Sep","Oct","Nov","Dec")</f>
        <v>Feb</v>
      </c>
      <c r="C70" t="s">
        <v>61</v>
      </c>
      <c r="D70" t="s">
        <v>31</v>
      </c>
      <c r="E70">
        <v>2854</v>
      </c>
      <c r="F70">
        <v>74204</v>
      </c>
    </row>
    <row r="71" spans="1:6" x14ac:dyDescent="0.35">
      <c r="A71">
        <v>2</v>
      </c>
      <c r="B71" t="str">
        <f>CHOOSE(Table2[[#This Row],[Month]], "Jan","Feb","Mar","Apr","May","Jun","Jul","Aug","Sep","Oct","Nov","Dec")</f>
        <v>Feb</v>
      </c>
      <c r="C71" t="s">
        <v>63</v>
      </c>
      <c r="D71" t="s">
        <v>21</v>
      </c>
      <c r="E71">
        <v>1883</v>
      </c>
      <c r="F71">
        <v>50841</v>
      </c>
    </row>
    <row r="72" spans="1:6" x14ac:dyDescent="0.35">
      <c r="A72">
        <v>2</v>
      </c>
      <c r="B72" t="str">
        <f>CHOOSE(Table2[[#This Row],[Month]], "Jan","Feb","Mar","Apr","May","Jun","Jul","Aug","Sep","Oct","Nov","Dec")</f>
        <v>Feb</v>
      </c>
      <c r="C72" t="s">
        <v>65</v>
      </c>
      <c r="D72" t="s">
        <v>17</v>
      </c>
      <c r="E72">
        <v>2165</v>
      </c>
      <c r="F72">
        <v>181860</v>
      </c>
    </row>
    <row r="73" spans="1:6" x14ac:dyDescent="0.35">
      <c r="A73">
        <v>2</v>
      </c>
      <c r="B73" t="str">
        <f>CHOOSE(Table2[[#This Row],[Month]], "Jan","Feb","Mar","Apr","May","Jun","Jul","Aug","Sep","Oct","Nov","Dec")</f>
        <v>Feb</v>
      </c>
      <c r="C73" t="s">
        <v>67</v>
      </c>
      <c r="D73" t="s">
        <v>17</v>
      </c>
      <c r="E73">
        <v>4140</v>
      </c>
      <c r="F73">
        <v>169740</v>
      </c>
    </row>
    <row r="74" spans="1:6" x14ac:dyDescent="0.35">
      <c r="A74">
        <v>2</v>
      </c>
      <c r="B74" t="str">
        <f>CHOOSE(Table2[[#This Row],[Month]], "Jan","Feb","Mar","Apr","May","Jun","Jul","Aug","Sep","Oct","Nov","Dec")</f>
        <v>Feb</v>
      </c>
      <c r="C74" t="s">
        <v>69</v>
      </c>
      <c r="D74" t="s">
        <v>31</v>
      </c>
      <c r="E74">
        <v>1069</v>
      </c>
      <c r="F74">
        <v>145384</v>
      </c>
    </row>
    <row r="75" spans="1:6" x14ac:dyDescent="0.35">
      <c r="A75">
        <v>2</v>
      </c>
      <c r="B75" t="str">
        <f>CHOOSE(Table2[[#This Row],[Month]], "Jan","Feb","Mar","Apr","May","Jun","Jul","Aug","Sep","Oct","Nov","Dec")</f>
        <v>Feb</v>
      </c>
      <c r="C75" t="s">
        <v>71</v>
      </c>
      <c r="D75" t="s">
        <v>17</v>
      </c>
      <c r="E75">
        <v>4561</v>
      </c>
      <c r="F75">
        <v>656784</v>
      </c>
    </row>
    <row r="76" spans="1:6" x14ac:dyDescent="0.35">
      <c r="A76">
        <v>2</v>
      </c>
      <c r="B76" t="str">
        <f>CHOOSE(Table2[[#This Row],[Month]], "Jan","Feb","Mar","Apr","May","Jun","Jul","Aug","Sep","Oct","Nov","Dec")</f>
        <v>Feb</v>
      </c>
      <c r="C76" t="s">
        <v>73</v>
      </c>
      <c r="D76" t="s">
        <v>21</v>
      </c>
      <c r="E76">
        <v>3148</v>
      </c>
      <c r="F76">
        <v>97588</v>
      </c>
    </row>
    <row r="77" spans="1:6" x14ac:dyDescent="0.35">
      <c r="A77">
        <v>2</v>
      </c>
      <c r="B77" t="str">
        <f>CHOOSE(Table2[[#This Row],[Month]], "Jan","Feb","Mar","Apr","May","Jun","Jul","Aug","Sep","Oct","Nov","Dec")</f>
        <v>Feb</v>
      </c>
      <c r="C77" t="s">
        <v>75</v>
      </c>
      <c r="D77" t="s">
        <v>17</v>
      </c>
      <c r="E77">
        <v>4450</v>
      </c>
      <c r="F77">
        <v>574050</v>
      </c>
    </row>
    <row r="78" spans="1:6" x14ac:dyDescent="0.35">
      <c r="A78">
        <v>2</v>
      </c>
      <c r="B78" t="str">
        <f>CHOOSE(Table2[[#This Row],[Month]], "Jan","Feb","Mar","Apr","May","Jun","Jul","Aug","Sep","Oct","Nov","Dec")</f>
        <v>Feb</v>
      </c>
      <c r="C78" t="s">
        <v>77</v>
      </c>
      <c r="D78" t="s">
        <v>21</v>
      </c>
      <c r="E78">
        <v>4856</v>
      </c>
      <c r="F78">
        <v>437040</v>
      </c>
    </row>
    <row r="79" spans="1:6" x14ac:dyDescent="0.35">
      <c r="A79">
        <v>2</v>
      </c>
      <c r="B79" t="str">
        <f>CHOOSE(Table2[[#This Row],[Month]], "Jan","Feb","Mar","Apr","May","Jun","Jul","Aug","Sep","Oct","Nov","Dec")</f>
        <v>Feb</v>
      </c>
      <c r="C79" t="s">
        <v>79</v>
      </c>
      <c r="D79" t="s">
        <v>17</v>
      </c>
      <c r="E79">
        <v>2992</v>
      </c>
      <c r="F79">
        <v>203456</v>
      </c>
    </row>
    <row r="80" spans="1:6" x14ac:dyDescent="0.35">
      <c r="A80">
        <v>2</v>
      </c>
      <c r="B80" t="str">
        <f>CHOOSE(Table2[[#This Row],[Month]], "Jan","Feb","Mar","Apr","May","Jun","Jul","Aug","Sep","Oct","Nov","Dec")</f>
        <v>Feb</v>
      </c>
      <c r="C80" t="s">
        <v>81</v>
      </c>
      <c r="D80" t="s">
        <v>31</v>
      </c>
      <c r="E80">
        <v>111</v>
      </c>
      <c r="F80">
        <v>4773</v>
      </c>
    </row>
    <row r="81" spans="1:6" x14ac:dyDescent="0.35">
      <c r="A81">
        <v>2</v>
      </c>
      <c r="B81" t="str">
        <f>CHOOSE(Table2[[#This Row],[Month]], "Jan","Feb","Mar","Apr","May","Jun","Jul","Aug","Sep","Oct","Nov","Dec")</f>
        <v>Feb</v>
      </c>
      <c r="C81" t="s">
        <v>83</v>
      </c>
      <c r="D81" t="s">
        <v>17</v>
      </c>
      <c r="E81">
        <v>2779</v>
      </c>
      <c r="F81">
        <v>283458</v>
      </c>
    </row>
    <row r="82" spans="1:6" x14ac:dyDescent="0.35">
      <c r="A82">
        <v>2</v>
      </c>
      <c r="B82" t="str">
        <f>CHOOSE(Table2[[#This Row],[Month]], "Jan","Feb","Mar","Apr","May","Jun","Jul","Aug","Sep","Oct","Nov","Dec")</f>
        <v>Feb</v>
      </c>
      <c r="C82" t="s">
        <v>85</v>
      </c>
      <c r="D82" t="s">
        <v>21</v>
      </c>
      <c r="E82">
        <v>1899</v>
      </c>
      <c r="F82">
        <v>212688</v>
      </c>
    </row>
    <row r="83" spans="1:6" x14ac:dyDescent="0.35">
      <c r="A83">
        <v>2</v>
      </c>
      <c r="B83" t="str">
        <f>CHOOSE(Table2[[#This Row],[Month]], "Jan","Feb","Mar","Apr","May","Jun","Jul","Aug","Sep","Oct","Nov","Dec")</f>
        <v>Feb</v>
      </c>
      <c r="C83" t="s">
        <v>87</v>
      </c>
      <c r="D83" t="s">
        <v>11</v>
      </c>
      <c r="E83">
        <v>552</v>
      </c>
      <c r="F83">
        <v>12696</v>
      </c>
    </row>
    <row r="84" spans="1:6" x14ac:dyDescent="0.35">
      <c r="A84">
        <v>2</v>
      </c>
      <c r="B84" t="str">
        <f>CHOOSE(Table2[[#This Row],[Month]], "Jan","Feb","Mar","Apr","May","Jun","Jul","Aug","Sep","Oct","Nov","Dec")</f>
        <v>Feb</v>
      </c>
      <c r="C84" t="s">
        <v>89</v>
      </c>
      <c r="D84" t="s">
        <v>17</v>
      </c>
      <c r="E84">
        <v>626</v>
      </c>
      <c r="F84">
        <v>31300</v>
      </c>
    </row>
    <row r="85" spans="1:6" x14ac:dyDescent="0.35">
      <c r="A85">
        <v>2</v>
      </c>
      <c r="B85" t="str">
        <f>CHOOSE(Table2[[#This Row],[Month]], "Jan","Feb","Mar","Apr","May","Jun","Jul","Aug","Sep","Oct","Nov","Dec")</f>
        <v>Feb</v>
      </c>
      <c r="C85" t="s">
        <v>91</v>
      </c>
      <c r="D85" t="s">
        <v>21</v>
      </c>
      <c r="E85">
        <v>3663</v>
      </c>
      <c r="F85">
        <v>274725</v>
      </c>
    </row>
    <row r="86" spans="1:6" x14ac:dyDescent="0.35">
      <c r="A86">
        <v>2</v>
      </c>
      <c r="B86" t="str">
        <f>CHOOSE(Table2[[#This Row],[Month]], "Jan","Feb","Mar","Apr","May","Jun","Jul","Aug","Sep","Oct","Nov","Dec")</f>
        <v>Feb</v>
      </c>
      <c r="C86" t="s">
        <v>93</v>
      </c>
      <c r="D86" t="s">
        <v>11</v>
      </c>
      <c r="E86">
        <v>915</v>
      </c>
      <c r="F86">
        <v>97905</v>
      </c>
    </row>
    <row r="87" spans="1:6" x14ac:dyDescent="0.35">
      <c r="A87">
        <v>2</v>
      </c>
      <c r="B87" t="str">
        <f>CHOOSE(Table2[[#This Row],[Month]], "Jan","Feb","Mar","Apr","May","Jun","Jul","Aug","Sep","Oct","Nov","Dec")</f>
        <v>Feb</v>
      </c>
      <c r="C87" t="s">
        <v>95</v>
      </c>
      <c r="D87" t="s">
        <v>17</v>
      </c>
      <c r="E87">
        <v>2843</v>
      </c>
      <c r="F87">
        <v>82447</v>
      </c>
    </row>
    <row r="88" spans="1:6" x14ac:dyDescent="0.35">
      <c r="A88">
        <v>2</v>
      </c>
      <c r="B88" t="str">
        <f>CHOOSE(Table2[[#This Row],[Month]], "Jan","Feb","Mar","Apr","May","Jun","Jul","Aug","Sep","Oct","Nov","Dec")</f>
        <v>Feb</v>
      </c>
      <c r="C88" t="s">
        <v>97</v>
      </c>
      <c r="D88" t="s">
        <v>11</v>
      </c>
      <c r="E88">
        <v>705</v>
      </c>
      <c r="F88">
        <v>57810</v>
      </c>
    </row>
    <row r="89" spans="1:6" x14ac:dyDescent="0.35">
      <c r="A89">
        <v>2</v>
      </c>
      <c r="B89" t="str">
        <f>CHOOSE(Table2[[#This Row],[Month]], "Jan","Feb","Mar","Apr","May","Jun","Jul","Aug","Sep","Oct","Nov","Dec")</f>
        <v>Feb</v>
      </c>
      <c r="C89" t="s">
        <v>99</v>
      </c>
      <c r="D89" t="s">
        <v>31</v>
      </c>
      <c r="E89">
        <v>2570</v>
      </c>
      <c r="F89">
        <v>221020</v>
      </c>
    </row>
    <row r="90" spans="1:6" x14ac:dyDescent="0.35">
      <c r="A90">
        <v>2</v>
      </c>
      <c r="B90" t="str">
        <f>CHOOSE(Table2[[#This Row],[Month]], "Jan","Feb","Mar","Apr","May","Jun","Jul","Aug","Sep","Oct","Nov","Dec")</f>
        <v>Feb</v>
      </c>
      <c r="C90" t="s">
        <v>101</v>
      </c>
      <c r="D90" t="s">
        <v>11</v>
      </c>
      <c r="E90">
        <v>2800</v>
      </c>
      <c r="F90">
        <v>344400</v>
      </c>
    </row>
    <row r="91" spans="1:6" x14ac:dyDescent="0.35">
      <c r="A91">
        <v>2</v>
      </c>
      <c r="B91" t="str">
        <f>CHOOSE(Table2[[#This Row],[Month]], "Jan","Feb","Mar","Apr","May","Jun","Jul","Aug","Sep","Oct","Nov","Dec")</f>
        <v>Feb</v>
      </c>
      <c r="C91" t="s">
        <v>103</v>
      </c>
      <c r="D91" t="s">
        <v>11</v>
      </c>
      <c r="E91">
        <v>4657</v>
      </c>
      <c r="F91">
        <v>512270</v>
      </c>
    </row>
    <row r="92" spans="1:6" x14ac:dyDescent="0.35">
      <c r="A92">
        <v>2</v>
      </c>
      <c r="B92" t="str">
        <f>CHOOSE(Table2[[#This Row],[Month]], "Jan","Feb","Mar","Apr","May","Jun","Jul","Aug","Sep","Oct","Nov","Dec")</f>
        <v>Feb</v>
      </c>
      <c r="C92" t="s">
        <v>105</v>
      </c>
      <c r="D92" t="s">
        <v>17</v>
      </c>
      <c r="E92">
        <v>2357</v>
      </c>
      <c r="F92">
        <v>54211</v>
      </c>
    </row>
    <row r="93" spans="1:6" x14ac:dyDescent="0.35">
      <c r="A93">
        <v>2</v>
      </c>
      <c r="B93" t="str">
        <f>CHOOSE(Table2[[#This Row],[Month]], "Jan","Feb","Mar","Apr","May","Jun","Jul","Aug","Sep","Oct","Nov","Dec")</f>
        <v>Feb</v>
      </c>
      <c r="C93" t="s">
        <v>107</v>
      </c>
      <c r="D93" t="s">
        <v>11</v>
      </c>
      <c r="E93">
        <v>1716</v>
      </c>
      <c r="F93">
        <v>209352</v>
      </c>
    </row>
    <row r="94" spans="1:6" x14ac:dyDescent="0.35">
      <c r="A94">
        <v>2</v>
      </c>
      <c r="B94" t="str">
        <f>CHOOSE(Table2[[#This Row],[Month]], "Jan","Feb","Mar","Apr","May","Jun","Jul","Aug","Sep","Oct","Nov","Dec")</f>
        <v>Feb</v>
      </c>
      <c r="C94" t="s">
        <v>109</v>
      </c>
      <c r="D94" t="s">
        <v>11</v>
      </c>
      <c r="E94">
        <v>4123</v>
      </c>
      <c r="F94">
        <v>490637</v>
      </c>
    </row>
    <row r="95" spans="1:6" x14ac:dyDescent="0.35">
      <c r="A95">
        <v>2</v>
      </c>
      <c r="B95" t="str">
        <f>CHOOSE(Table2[[#This Row],[Month]], "Jan","Feb","Mar","Apr","May","Jun","Jul","Aug","Sep","Oct","Nov","Dec")</f>
        <v>Feb</v>
      </c>
      <c r="C95" t="s">
        <v>111</v>
      </c>
      <c r="D95" t="s">
        <v>17</v>
      </c>
      <c r="E95">
        <v>405</v>
      </c>
      <c r="F95">
        <v>49410</v>
      </c>
    </row>
    <row r="96" spans="1:6" x14ac:dyDescent="0.35">
      <c r="A96">
        <v>2</v>
      </c>
      <c r="B96" t="str">
        <f>CHOOSE(Table2[[#This Row],[Month]], "Jan","Feb","Mar","Apr","May","Jun","Jul","Aug","Sep","Oct","Nov","Dec")</f>
        <v>Feb</v>
      </c>
      <c r="C96" t="s">
        <v>113</v>
      </c>
      <c r="D96" t="s">
        <v>31</v>
      </c>
      <c r="E96">
        <v>455</v>
      </c>
      <c r="F96">
        <v>19110</v>
      </c>
    </row>
    <row r="97" spans="1:6" x14ac:dyDescent="0.35">
      <c r="A97">
        <v>2</v>
      </c>
      <c r="B97" t="str">
        <f>CHOOSE(Table2[[#This Row],[Month]], "Jan","Feb","Mar","Apr","May","Jun","Jul","Aug","Sep","Oct","Nov","Dec")</f>
        <v>Feb</v>
      </c>
      <c r="C97" t="s">
        <v>115</v>
      </c>
      <c r="D97" t="s">
        <v>17</v>
      </c>
      <c r="E97">
        <v>1078</v>
      </c>
      <c r="F97">
        <v>122892</v>
      </c>
    </row>
    <row r="98" spans="1:6" x14ac:dyDescent="0.35">
      <c r="A98">
        <v>2</v>
      </c>
      <c r="B98" t="str">
        <f>CHOOSE(Table2[[#This Row],[Month]], "Jan","Feb","Mar","Apr","May","Jun","Jul","Aug","Sep","Oct","Nov","Dec")</f>
        <v>Feb</v>
      </c>
      <c r="C98" t="s">
        <v>117</v>
      </c>
      <c r="D98" t="s">
        <v>31</v>
      </c>
      <c r="E98">
        <v>1779</v>
      </c>
      <c r="F98">
        <v>247281</v>
      </c>
    </row>
    <row r="99" spans="1:6" x14ac:dyDescent="0.35">
      <c r="A99">
        <v>2</v>
      </c>
      <c r="B99" t="str">
        <f>CHOOSE(Table2[[#This Row],[Month]], "Jan","Feb","Mar","Apr","May","Jun","Jul","Aug","Sep","Oct","Nov","Dec")</f>
        <v>Feb</v>
      </c>
      <c r="C99" t="s">
        <v>119</v>
      </c>
      <c r="D99" t="s">
        <v>17</v>
      </c>
      <c r="E99">
        <v>4809</v>
      </c>
      <c r="F99">
        <v>259686</v>
      </c>
    </row>
    <row r="100" spans="1:6" x14ac:dyDescent="0.35">
      <c r="A100">
        <v>2</v>
      </c>
      <c r="B100" t="str">
        <f>CHOOSE(Table2[[#This Row],[Month]], "Jan","Feb","Mar","Apr","May","Jun","Jul","Aug","Sep","Oct","Nov","Dec")</f>
        <v>Feb</v>
      </c>
      <c r="C100" t="s">
        <v>121</v>
      </c>
      <c r="D100" t="s">
        <v>21</v>
      </c>
      <c r="E100">
        <v>2276</v>
      </c>
      <c r="F100">
        <v>266292</v>
      </c>
    </row>
    <row r="101" spans="1:6" x14ac:dyDescent="0.35">
      <c r="A101">
        <v>2</v>
      </c>
      <c r="B101" t="str">
        <f>CHOOSE(Table2[[#This Row],[Month]], "Jan","Feb","Mar","Apr","May","Jun","Jul","Aug","Sep","Oct","Nov","Dec")</f>
        <v>Feb</v>
      </c>
      <c r="C101" t="s">
        <v>123</v>
      </c>
      <c r="D101" t="s">
        <v>17</v>
      </c>
      <c r="E101">
        <v>3075</v>
      </c>
      <c r="F101">
        <v>126075</v>
      </c>
    </row>
    <row r="102" spans="1:6" x14ac:dyDescent="0.35">
      <c r="A102">
        <v>3</v>
      </c>
      <c r="B102" t="str">
        <f>CHOOSE(Table2[[#This Row],[Month]], "Jan","Feb","Mar","Apr","May","Jun","Jul","Aug","Sep","Oct","Nov","Dec")</f>
        <v>Mar</v>
      </c>
      <c r="C102" t="s">
        <v>8</v>
      </c>
      <c r="D102" t="s">
        <v>17</v>
      </c>
      <c r="E102">
        <v>1744</v>
      </c>
      <c r="F102">
        <v>80224</v>
      </c>
    </row>
    <row r="103" spans="1:6" x14ac:dyDescent="0.35">
      <c r="A103">
        <v>3</v>
      </c>
      <c r="B103" t="str">
        <f>CHOOSE(Table2[[#This Row],[Month]], "Jan","Feb","Mar","Apr","May","Jun","Jul","Aug","Sep","Oct","Nov","Dec")</f>
        <v>Mar</v>
      </c>
      <c r="C103" t="s">
        <v>15</v>
      </c>
      <c r="D103" t="s">
        <v>31</v>
      </c>
      <c r="E103">
        <v>3263</v>
      </c>
      <c r="F103">
        <v>277355</v>
      </c>
    </row>
    <row r="104" spans="1:6" x14ac:dyDescent="0.35">
      <c r="A104">
        <v>3</v>
      </c>
      <c r="B104" t="str">
        <f>CHOOSE(Table2[[#This Row],[Month]], "Jan","Feb","Mar","Apr","May","Jun","Jul","Aug","Sep","Oct","Nov","Dec")</f>
        <v>Mar</v>
      </c>
      <c r="C104" t="s">
        <v>19</v>
      </c>
      <c r="D104" t="s">
        <v>21</v>
      </c>
      <c r="E104">
        <v>2634</v>
      </c>
      <c r="F104">
        <v>139602</v>
      </c>
    </row>
    <row r="105" spans="1:6" x14ac:dyDescent="0.35">
      <c r="A105">
        <v>3</v>
      </c>
      <c r="B105" t="str">
        <f>CHOOSE(Table2[[#This Row],[Month]], "Jan","Feb","Mar","Apr","May","Jun","Jul","Aug","Sep","Oct","Nov","Dec")</f>
        <v>Mar</v>
      </c>
      <c r="C105" t="s">
        <v>24</v>
      </c>
      <c r="D105" t="s">
        <v>11</v>
      </c>
      <c r="E105">
        <v>2352</v>
      </c>
      <c r="F105">
        <v>242256</v>
      </c>
    </row>
    <row r="106" spans="1:6" x14ac:dyDescent="0.35">
      <c r="A106">
        <v>3</v>
      </c>
      <c r="B106" t="str">
        <f>CHOOSE(Table2[[#This Row],[Month]], "Jan","Feb","Mar","Apr","May","Jun","Jul","Aug","Sep","Oct","Nov","Dec")</f>
        <v>Mar</v>
      </c>
      <c r="C106" t="s">
        <v>28</v>
      </c>
      <c r="D106" t="s">
        <v>31</v>
      </c>
      <c r="E106">
        <v>555</v>
      </c>
      <c r="F106">
        <v>12210</v>
      </c>
    </row>
    <row r="107" spans="1:6" x14ac:dyDescent="0.35">
      <c r="A107">
        <v>3</v>
      </c>
      <c r="B107" t="str">
        <f>CHOOSE(Table2[[#This Row],[Month]], "Jan","Feb","Mar","Apr","May","Jun","Jul","Aug","Sep","Oct","Nov","Dec")</f>
        <v>Mar</v>
      </c>
      <c r="C107" t="s">
        <v>33</v>
      </c>
      <c r="D107" t="s">
        <v>31</v>
      </c>
      <c r="E107">
        <v>4256</v>
      </c>
      <c r="F107">
        <v>489440</v>
      </c>
    </row>
    <row r="108" spans="1:6" x14ac:dyDescent="0.35">
      <c r="A108">
        <v>3</v>
      </c>
      <c r="B108" t="str">
        <f>CHOOSE(Table2[[#This Row],[Month]], "Jan","Feb","Mar","Apr","May","Jun","Jul","Aug","Sep","Oct","Nov","Dec")</f>
        <v>Mar</v>
      </c>
      <c r="C108" t="s">
        <v>36</v>
      </c>
      <c r="D108" t="s">
        <v>21</v>
      </c>
      <c r="E108">
        <v>4443</v>
      </c>
      <c r="F108">
        <v>510945</v>
      </c>
    </row>
    <row r="109" spans="1:6" x14ac:dyDescent="0.35">
      <c r="A109">
        <v>3</v>
      </c>
      <c r="B109" t="str">
        <f>CHOOSE(Table2[[#This Row],[Month]], "Jan","Feb","Mar","Apr","May","Jun","Jul","Aug","Sep","Oct","Nov","Dec")</f>
        <v>Mar</v>
      </c>
      <c r="C109" t="s">
        <v>39</v>
      </c>
      <c r="D109" t="s">
        <v>21</v>
      </c>
      <c r="E109">
        <v>3797</v>
      </c>
      <c r="F109">
        <v>129098</v>
      </c>
    </row>
    <row r="110" spans="1:6" x14ac:dyDescent="0.35">
      <c r="A110">
        <v>3</v>
      </c>
      <c r="B110" t="str">
        <f>CHOOSE(Table2[[#This Row],[Month]], "Jan","Feb","Mar","Apr","May","Jun","Jul","Aug","Sep","Oct","Nov","Dec")</f>
        <v>Mar</v>
      </c>
      <c r="C110" t="s">
        <v>41</v>
      </c>
      <c r="D110" t="s">
        <v>21</v>
      </c>
      <c r="E110">
        <v>4876</v>
      </c>
      <c r="F110">
        <v>321816</v>
      </c>
    </row>
    <row r="111" spans="1:6" x14ac:dyDescent="0.35">
      <c r="A111">
        <v>3</v>
      </c>
      <c r="B111" t="str">
        <f>CHOOSE(Table2[[#This Row],[Month]], "Jan","Feb","Mar","Apr","May","Jun","Jul","Aug","Sep","Oct","Nov","Dec")</f>
        <v>Mar</v>
      </c>
      <c r="C111" t="s">
        <v>43</v>
      </c>
      <c r="D111" t="s">
        <v>17</v>
      </c>
      <c r="E111">
        <v>1870</v>
      </c>
      <c r="F111">
        <v>224400</v>
      </c>
    </row>
    <row r="112" spans="1:6" x14ac:dyDescent="0.35">
      <c r="A112">
        <v>3</v>
      </c>
      <c r="B112" t="str">
        <f>CHOOSE(Table2[[#This Row],[Month]], "Jan","Feb","Mar","Apr","May","Jun","Jul","Aug","Sep","Oct","Nov","Dec")</f>
        <v>Mar</v>
      </c>
      <c r="C112" t="s">
        <v>45</v>
      </c>
      <c r="D112" t="s">
        <v>31</v>
      </c>
      <c r="E112">
        <v>2265</v>
      </c>
      <c r="F112">
        <v>305775</v>
      </c>
    </row>
    <row r="113" spans="1:6" x14ac:dyDescent="0.35">
      <c r="A113">
        <v>3</v>
      </c>
      <c r="B113" t="str">
        <f>CHOOSE(Table2[[#This Row],[Month]], "Jan","Feb","Mar","Apr","May","Jun","Jul","Aug","Sep","Oct","Nov","Dec")</f>
        <v>Mar</v>
      </c>
      <c r="C113" t="s">
        <v>47</v>
      </c>
      <c r="D113" t="s">
        <v>31</v>
      </c>
      <c r="E113">
        <v>3029</v>
      </c>
      <c r="F113">
        <v>315016</v>
      </c>
    </row>
    <row r="114" spans="1:6" x14ac:dyDescent="0.35">
      <c r="A114">
        <v>3</v>
      </c>
      <c r="B114" t="str">
        <f>CHOOSE(Table2[[#This Row],[Month]], "Jan","Feb","Mar","Apr","May","Jun","Jul","Aug","Sep","Oct","Nov","Dec")</f>
        <v>Mar</v>
      </c>
      <c r="C114" t="s">
        <v>49</v>
      </c>
      <c r="D114" t="s">
        <v>31</v>
      </c>
      <c r="E114">
        <v>1685</v>
      </c>
      <c r="F114">
        <v>82565</v>
      </c>
    </row>
    <row r="115" spans="1:6" x14ac:dyDescent="0.35">
      <c r="A115">
        <v>3</v>
      </c>
      <c r="B115" t="str">
        <f>CHOOSE(Table2[[#This Row],[Month]], "Jan","Feb","Mar","Apr","May","Jun","Jul","Aug","Sep","Oct","Nov","Dec")</f>
        <v>Mar</v>
      </c>
      <c r="C115" t="s">
        <v>51</v>
      </c>
      <c r="D115" t="s">
        <v>11</v>
      </c>
      <c r="E115">
        <v>1440</v>
      </c>
      <c r="F115">
        <v>59040</v>
      </c>
    </row>
    <row r="116" spans="1:6" x14ac:dyDescent="0.35">
      <c r="A116">
        <v>3</v>
      </c>
      <c r="B116" t="str">
        <f>CHOOSE(Table2[[#This Row],[Month]], "Jan","Feb","Mar","Apr","May","Jun","Jul","Aug","Sep","Oct","Nov","Dec")</f>
        <v>Mar</v>
      </c>
      <c r="C116" t="s">
        <v>53</v>
      </c>
      <c r="D116" t="s">
        <v>31</v>
      </c>
      <c r="E116">
        <v>4331</v>
      </c>
      <c r="F116">
        <v>129930</v>
      </c>
    </row>
    <row r="117" spans="1:6" x14ac:dyDescent="0.35">
      <c r="A117">
        <v>3</v>
      </c>
      <c r="B117" t="str">
        <f>CHOOSE(Table2[[#This Row],[Month]], "Jan","Feb","Mar","Apr","May","Jun","Jul","Aug","Sep","Oct","Nov","Dec")</f>
        <v>Mar</v>
      </c>
      <c r="C117" t="s">
        <v>55</v>
      </c>
      <c r="D117" t="s">
        <v>21</v>
      </c>
      <c r="E117">
        <v>162</v>
      </c>
      <c r="F117">
        <v>7290</v>
      </c>
    </row>
    <row r="118" spans="1:6" x14ac:dyDescent="0.35">
      <c r="A118">
        <v>3</v>
      </c>
      <c r="B118" t="str">
        <f>CHOOSE(Table2[[#This Row],[Month]], "Jan","Feb","Mar","Apr","May","Jun","Jul","Aug","Sep","Oct","Nov","Dec")</f>
        <v>Mar</v>
      </c>
      <c r="C118" t="s">
        <v>57</v>
      </c>
      <c r="D118" t="s">
        <v>17</v>
      </c>
      <c r="E118">
        <v>4580</v>
      </c>
      <c r="F118">
        <v>380140</v>
      </c>
    </row>
    <row r="119" spans="1:6" x14ac:dyDescent="0.35">
      <c r="A119">
        <v>3</v>
      </c>
      <c r="B119" t="str">
        <f>CHOOSE(Table2[[#This Row],[Month]], "Jan","Feb","Mar","Apr","May","Jun","Jul","Aug","Sep","Oct","Nov","Dec")</f>
        <v>Mar</v>
      </c>
      <c r="C119" t="s">
        <v>59</v>
      </c>
      <c r="D119" t="s">
        <v>31</v>
      </c>
      <c r="E119">
        <v>2894</v>
      </c>
      <c r="F119">
        <v>170746</v>
      </c>
    </row>
    <row r="120" spans="1:6" x14ac:dyDescent="0.35">
      <c r="A120">
        <v>3</v>
      </c>
      <c r="B120" t="str">
        <f>CHOOSE(Table2[[#This Row],[Month]], "Jan","Feb","Mar","Apr","May","Jun","Jul","Aug","Sep","Oct","Nov","Dec")</f>
        <v>Mar</v>
      </c>
      <c r="C120" t="s">
        <v>61</v>
      </c>
      <c r="D120" t="s">
        <v>11</v>
      </c>
      <c r="E120">
        <v>1730</v>
      </c>
      <c r="F120">
        <v>50170</v>
      </c>
    </row>
    <row r="121" spans="1:6" x14ac:dyDescent="0.35">
      <c r="A121">
        <v>3</v>
      </c>
      <c r="B121" t="str">
        <f>CHOOSE(Table2[[#This Row],[Month]], "Jan","Feb","Mar","Apr","May","Jun","Jul","Aug","Sep","Oct","Nov","Dec")</f>
        <v>Mar</v>
      </c>
      <c r="C121" t="s">
        <v>63</v>
      </c>
      <c r="D121" t="s">
        <v>17</v>
      </c>
      <c r="E121">
        <v>4755</v>
      </c>
      <c r="F121">
        <v>499275</v>
      </c>
    </row>
    <row r="122" spans="1:6" x14ac:dyDescent="0.35">
      <c r="A122">
        <v>3</v>
      </c>
      <c r="B122" t="str">
        <f>CHOOSE(Table2[[#This Row],[Month]], "Jan","Feb","Mar","Apr","May","Jun","Jul","Aug","Sep","Oct","Nov","Dec")</f>
        <v>Mar</v>
      </c>
      <c r="C122" t="s">
        <v>65</v>
      </c>
      <c r="D122" t="s">
        <v>17</v>
      </c>
      <c r="E122">
        <v>1717</v>
      </c>
      <c r="F122">
        <v>104737</v>
      </c>
    </row>
    <row r="123" spans="1:6" x14ac:dyDescent="0.35">
      <c r="A123">
        <v>3</v>
      </c>
      <c r="B123" t="str">
        <f>CHOOSE(Table2[[#This Row],[Month]], "Jan","Feb","Mar","Apr","May","Jun","Jul","Aug","Sep","Oct","Nov","Dec")</f>
        <v>Mar</v>
      </c>
      <c r="C123" t="s">
        <v>67</v>
      </c>
      <c r="D123" t="s">
        <v>31</v>
      </c>
      <c r="E123">
        <v>3384</v>
      </c>
      <c r="F123">
        <v>372240</v>
      </c>
    </row>
    <row r="124" spans="1:6" x14ac:dyDescent="0.35">
      <c r="A124">
        <v>3</v>
      </c>
      <c r="B124" t="str">
        <f>CHOOSE(Table2[[#This Row],[Month]], "Jan","Feb","Mar","Apr","May","Jun","Jul","Aug","Sep","Oct","Nov","Dec")</f>
        <v>Mar</v>
      </c>
      <c r="C124" t="s">
        <v>69</v>
      </c>
      <c r="D124" t="s">
        <v>21</v>
      </c>
      <c r="E124">
        <v>2011</v>
      </c>
      <c r="F124">
        <v>154847</v>
      </c>
    </row>
    <row r="125" spans="1:6" x14ac:dyDescent="0.35">
      <c r="A125">
        <v>3</v>
      </c>
      <c r="B125" t="str">
        <f>CHOOSE(Table2[[#This Row],[Month]], "Jan","Feb","Mar","Apr","May","Jun","Jul","Aug","Sep","Oct","Nov","Dec")</f>
        <v>Mar</v>
      </c>
      <c r="C125" t="s">
        <v>71</v>
      </c>
      <c r="D125" t="s">
        <v>21</v>
      </c>
      <c r="E125">
        <v>3835</v>
      </c>
      <c r="F125">
        <v>122720</v>
      </c>
    </row>
    <row r="126" spans="1:6" x14ac:dyDescent="0.35">
      <c r="A126">
        <v>3</v>
      </c>
      <c r="B126" t="str">
        <f>CHOOSE(Table2[[#This Row],[Month]], "Jan","Feb","Mar","Apr","May","Jun","Jul","Aug","Sep","Oct","Nov","Dec")</f>
        <v>Mar</v>
      </c>
      <c r="C126" t="s">
        <v>73</v>
      </c>
      <c r="D126" t="s">
        <v>21</v>
      </c>
      <c r="E126">
        <v>4418</v>
      </c>
      <c r="F126">
        <v>499234</v>
      </c>
    </row>
    <row r="127" spans="1:6" x14ac:dyDescent="0.35">
      <c r="A127">
        <v>3</v>
      </c>
      <c r="B127" t="str">
        <f>CHOOSE(Table2[[#This Row],[Month]], "Jan","Feb","Mar","Apr","May","Jun","Jul","Aug","Sep","Oct","Nov","Dec")</f>
        <v>Mar</v>
      </c>
      <c r="C127" t="s">
        <v>75</v>
      </c>
      <c r="D127" t="s">
        <v>17</v>
      </c>
      <c r="E127">
        <v>4976</v>
      </c>
      <c r="F127">
        <v>432912</v>
      </c>
    </row>
    <row r="128" spans="1:6" x14ac:dyDescent="0.35">
      <c r="A128">
        <v>3</v>
      </c>
      <c r="B128" t="str">
        <f>CHOOSE(Table2[[#This Row],[Month]], "Jan","Feb","Mar","Apr","May","Jun","Jul","Aug","Sep","Oct","Nov","Dec")</f>
        <v>Mar</v>
      </c>
      <c r="C128" t="s">
        <v>77</v>
      </c>
      <c r="D128" t="s">
        <v>31</v>
      </c>
      <c r="E128">
        <v>4079</v>
      </c>
      <c r="F128">
        <v>277372</v>
      </c>
    </row>
    <row r="129" spans="1:6" x14ac:dyDescent="0.35">
      <c r="A129">
        <v>3</v>
      </c>
      <c r="B129" t="str">
        <f>CHOOSE(Table2[[#This Row],[Month]], "Jan","Feb","Mar","Apr","May","Jun","Jul","Aug","Sep","Oct","Nov","Dec")</f>
        <v>Mar</v>
      </c>
      <c r="C129" t="s">
        <v>79</v>
      </c>
      <c r="D129" t="s">
        <v>11</v>
      </c>
      <c r="E129">
        <v>4192</v>
      </c>
      <c r="F129">
        <v>129952</v>
      </c>
    </row>
    <row r="130" spans="1:6" x14ac:dyDescent="0.35">
      <c r="A130">
        <v>3</v>
      </c>
      <c r="B130" t="str">
        <f>CHOOSE(Table2[[#This Row],[Month]], "Jan","Feb","Mar","Apr","May","Jun","Jul","Aug","Sep","Oct","Nov","Dec")</f>
        <v>Mar</v>
      </c>
      <c r="C130" t="s">
        <v>81</v>
      </c>
      <c r="D130" t="s">
        <v>31</v>
      </c>
      <c r="E130">
        <v>2496</v>
      </c>
      <c r="F130">
        <v>324480</v>
      </c>
    </row>
    <row r="131" spans="1:6" x14ac:dyDescent="0.35">
      <c r="A131">
        <v>3</v>
      </c>
      <c r="B131" t="str">
        <f>CHOOSE(Table2[[#This Row],[Month]], "Jan","Feb","Mar","Apr","May","Jun","Jul","Aug","Sep","Oct","Nov","Dec")</f>
        <v>Mar</v>
      </c>
      <c r="C131" t="s">
        <v>83</v>
      </c>
      <c r="D131" t="s">
        <v>21</v>
      </c>
      <c r="E131">
        <v>410</v>
      </c>
      <c r="F131">
        <v>13120</v>
      </c>
    </row>
    <row r="132" spans="1:6" x14ac:dyDescent="0.35">
      <c r="A132">
        <v>3</v>
      </c>
      <c r="B132" t="str">
        <f>CHOOSE(Table2[[#This Row],[Month]], "Jan","Feb","Mar","Apr","May","Jun","Jul","Aug","Sep","Oct","Nov","Dec")</f>
        <v>Mar</v>
      </c>
      <c r="C132" t="s">
        <v>85</v>
      </c>
      <c r="D132" t="s">
        <v>11</v>
      </c>
      <c r="E132">
        <v>2736</v>
      </c>
      <c r="F132">
        <v>164160</v>
      </c>
    </row>
    <row r="133" spans="1:6" x14ac:dyDescent="0.35">
      <c r="A133">
        <v>3</v>
      </c>
      <c r="B133" t="str">
        <f>CHOOSE(Table2[[#This Row],[Month]], "Jan","Feb","Mar","Apr","May","Jun","Jul","Aug","Sep","Oct","Nov","Dec")</f>
        <v>Mar</v>
      </c>
      <c r="C133" t="s">
        <v>87</v>
      </c>
      <c r="D133" t="s">
        <v>21</v>
      </c>
      <c r="E133">
        <v>1686</v>
      </c>
      <c r="F133">
        <v>59010</v>
      </c>
    </row>
    <row r="134" spans="1:6" x14ac:dyDescent="0.35">
      <c r="A134">
        <v>3</v>
      </c>
      <c r="B134" t="str">
        <f>CHOOSE(Table2[[#This Row],[Month]], "Jan","Feb","Mar","Apr","May","Jun","Jul","Aug","Sep","Oct","Nov","Dec")</f>
        <v>Mar</v>
      </c>
      <c r="C134" t="s">
        <v>89</v>
      </c>
      <c r="D134" t="s">
        <v>17</v>
      </c>
      <c r="E134">
        <v>119</v>
      </c>
      <c r="F134">
        <v>15470</v>
      </c>
    </row>
    <row r="135" spans="1:6" x14ac:dyDescent="0.35">
      <c r="A135">
        <v>3</v>
      </c>
      <c r="B135" t="str">
        <f>CHOOSE(Table2[[#This Row],[Month]], "Jan","Feb","Mar","Apr","May","Jun","Jul","Aug","Sep","Oct","Nov","Dec")</f>
        <v>Mar</v>
      </c>
      <c r="C135" t="s">
        <v>91</v>
      </c>
      <c r="D135" t="s">
        <v>31</v>
      </c>
      <c r="E135">
        <v>889</v>
      </c>
      <c r="F135">
        <v>81788</v>
      </c>
    </row>
    <row r="136" spans="1:6" x14ac:dyDescent="0.35">
      <c r="A136">
        <v>3</v>
      </c>
      <c r="B136" t="str">
        <f>CHOOSE(Table2[[#This Row],[Month]], "Jan","Feb","Mar","Apr","May","Jun","Jul","Aug","Sep","Oct","Nov","Dec")</f>
        <v>Mar</v>
      </c>
      <c r="C136" t="s">
        <v>93</v>
      </c>
      <c r="D136" t="s">
        <v>21</v>
      </c>
      <c r="E136">
        <v>1589</v>
      </c>
      <c r="F136">
        <v>58793</v>
      </c>
    </row>
    <row r="137" spans="1:6" x14ac:dyDescent="0.35">
      <c r="A137">
        <v>3</v>
      </c>
      <c r="B137" t="str">
        <f>CHOOSE(Table2[[#This Row],[Month]], "Jan","Feb","Mar","Apr","May","Jun","Jul","Aug","Sep","Oct","Nov","Dec")</f>
        <v>Mar</v>
      </c>
      <c r="C137" t="s">
        <v>95</v>
      </c>
      <c r="D137" t="s">
        <v>11</v>
      </c>
      <c r="E137">
        <v>783</v>
      </c>
      <c r="F137">
        <v>92394</v>
      </c>
    </row>
    <row r="138" spans="1:6" x14ac:dyDescent="0.35">
      <c r="A138">
        <v>3</v>
      </c>
      <c r="B138" t="str">
        <f>CHOOSE(Table2[[#This Row],[Month]], "Jan","Feb","Mar","Apr","May","Jun","Jul","Aug","Sep","Oct","Nov","Dec")</f>
        <v>Mar</v>
      </c>
      <c r="C138" t="s">
        <v>97</v>
      </c>
      <c r="D138" t="s">
        <v>31</v>
      </c>
      <c r="E138">
        <v>1412</v>
      </c>
      <c r="F138">
        <v>177912</v>
      </c>
    </row>
    <row r="139" spans="1:6" x14ac:dyDescent="0.35">
      <c r="A139">
        <v>3</v>
      </c>
      <c r="B139" t="str">
        <f>CHOOSE(Table2[[#This Row],[Month]], "Jan","Feb","Mar","Apr","May","Jun","Jul","Aug","Sep","Oct","Nov","Dec")</f>
        <v>Mar</v>
      </c>
      <c r="C139" t="s">
        <v>99</v>
      </c>
      <c r="D139" t="s">
        <v>31</v>
      </c>
      <c r="E139">
        <v>336</v>
      </c>
      <c r="F139">
        <v>36624</v>
      </c>
    </row>
    <row r="140" spans="1:6" x14ac:dyDescent="0.35">
      <c r="A140">
        <v>3</v>
      </c>
      <c r="B140" t="str">
        <f>CHOOSE(Table2[[#This Row],[Month]], "Jan","Feb","Mar","Apr","May","Jun","Jul","Aug","Sep","Oct","Nov","Dec")</f>
        <v>Mar</v>
      </c>
      <c r="C140" t="s">
        <v>101</v>
      </c>
      <c r="D140" t="s">
        <v>17</v>
      </c>
      <c r="E140">
        <v>3774</v>
      </c>
      <c r="F140">
        <v>343434</v>
      </c>
    </row>
    <row r="141" spans="1:6" x14ac:dyDescent="0.35">
      <c r="A141">
        <v>3</v>
      </c>
      <c r="B141" t="str">
        <f>CHOOSE(Table2[[#This Row],[Month]], "Jan","Feb","Mar","Apr","May","Jun","Jul","Aug","Sep","Oct","Nov","Dec")</f>
        <v>Mar</v>
      </c>
      <c r="C141" t="s">
        <v>103</v>
      </c>
      <c r="D141" t="s">
        <v>11</v>
      </c>
      <c r="E141">
        <v>3836</v>
      </c>
      <c r="F141">
        <v>180292</v>
      </c>
    </row>
    <row r="142" spans="1:6" x14ac:dyDescent="0.35">
      <c r="A142">
        <v>3</v>
      </c>
      <c r="B142" t="str">
        <f>CHOOSE(Table2[[#This Row],[Month]], "Jan","Feb","Mar","Apr","May","Jun","Jul","Aug","Sep","Oct","Nov","Dec")</f>
        <v>Mar</v>
      </c>
      <c r="C142" t="s">
        <v>105</v>
      </c>
      <c r="D142" t="s">
        <v>31</v>
      </c>
      <c r="E142">
        <v>2637</v>
      </c>
      <c r="F142">
        <v>116028</v>
      </c>
    </row>
    <row r="143" spans="1:6" x14ac:dyDescent="0.35">
      <c r="A143">
        <v>3</v>
      </c>
      <c r="B143" t="str">
        <f>CHOOSE(Table2[[#This Row],[Month]], "Jan","Feb","Mar","Apr","May","Jun","Jul","Aug","Sep","Oct","Nov","Dec")</f>
        <v>Mar</v>
      </c>
      <c r="C143" t="s">
        <v>107</v>
      </c>
      <c r="D143" t="s">
        <v>17</v>
      </c>
      <c r="E143">
        <v>3667</v>
      </c>
      <c r="F143">
        <v>451041</v>
      </c>
    </row>
    <row r="144" spans="1:6" x14ac:dyDescent="0.35">
      <c r="A144">
        <v>3</v>
      </c>
      <c r="B144" t="str">
        <f>CHOOSE(Table2[[#This Row],[Month]], "Jan","Feb","Mar","Apr","May","Jun","Jul","Aug","Sep","Oct","Nov","Dec")</f>
        <v>Mar</v>
      </c>
      <c r="C144" t="s">
        <v>109</v>
      </c>
      <c r="D144" t="s">
        <v>31</v>
      </c>
      <c r="E144">
        <v>338</v>
      </c>
      <c r="F144">
        <v>31772</v>
      </c>
    </row>
    <row r="145" spans="1:6" x14ac:dyDescent="0.35">
      <c r="A145">
        <v>3</v>
      </c>
      <c r="B145" t="str">
        <f>CHOOSE(Table2[[#This Row],[Month]], "Jan","Feb","Mar","Apr","May","Jun","Jul","Aug","Sep","Oct","Nov","Dec")</f>
        <v>Mar</v>
      </c>
      <c r="C145" t="s">
        <v>111</v>
      </c>
      <c r="D145" t="s">
        <v>11</v>
      </c>
      <c r="E145">
        <v>3392</v>
      </c>
      <c r="F145">
        <v>125504</v>
      </c>
    </row>
    <row r="146" spans="1:6" x14ac:dyDescent="0.35">
      <c r="A146">
        <v>3</v>
      </c>
      <c r="B146" t="str">
        <f>CHOOSE(Table2[[#This Row],[Month]], "Jan","Feb","Mar","Apr","May","Jun","Jul","Aug","Sep","Oct","Nov","Dec")</f>
        <v>Mar</v>
      </c>
      <c r="C146" t="s">
        <v>113</v>
      </c>
      <c r="D146" t="s">
        <v>17</v>
      </c>
      <c r="E146">
        <v>4564</v>
      </c>
      <c r="F146">
        <v>584192</v>
      </c>
    </row>
    <row r="147" spans="1:6" x14ac:dyDescent="0.35">
      <c r="A147">
        <v>3</v>
      </c>
      <c r="B147" t="str">
        <f>CHOOSE(Table2[[#This Row],[Month]], "Jan","Feb","Mar","Apr","May","Jun","Jul","Aug","Sep","Oct","Nov","Dec")</f>
        <v>Mar</v>
      </c>
      <c r="C147" t="s">
        <v>115</v>
      </c>
      <c r="D147" t="s">
        <v>31</v>
      </c>
      <c r="E147">
        <v>3946</v>
      </c>
      <c r="F147">
        <v>548494</v>
      </c>
    </row>
    <row r="148" spans="1:6" x14ac:dyDescent="0.35">
      <c r="A148">
        <v>3</v>
      </c>
      <c r="B148" t="str">
        <f>CHOOSE(Table2[[#This Row],[Month]], "Jan","Feb","Mar","Apr","May","Jun","Jul","Aug","Sep","Oct","Nov","Dec")</f>
        <v>Mar</v>
      </c>
      <c r="C148" t="s">
        <v>117</v>
      </c>
      <c r="D148" t="s">
        <v>17</v>
      </c>
      <c r="E148">
        <v>4724</v>
      </c>
      <c r="F148">
        <v>170064</v>
      </c>
    </row>
    <row r="149" spans="1:6" x14ac:dyDescent="0.35">
      <c r="A149">
        <v>3</v>
      </c>
      <c r="B149" t="str">
        <f>CHOOSE(Table2[[#This Row],[Month]], "Jan","Feb","Mar","Apr","May","Jun","Jul","Aug","Sep","Oct","Nov","Dec")</f>
        <v>Mar</v>
      </c>
      <c r="C149" t="s">
        <v>119</v>
      </c>
      <c r="D149" t="s">
        <v>17</v>
      </c>
      <c r="E149">
        <v>1321</v>
      </c>
      <c r="F149">
        <v>169088</v>
      </c>
    </row>
    <row r="150" spans="1:6" x14ac:dyDescent="0.35">
      <c r="A150">
        <v>3</v>
      </c>
      <c r="B150" t="str">
        <f>CHOOSE(Table2[[#This Row],[Month]], "Jan","Feb","Mar","Apr","May","Jun","Jul","Aug","Sep","Oct","Nov","Dec")</f>
        <v>Mar</v>
      </c>
      <c r="C150" t="s">
        <v>121</v>
      </c>
      <c r="D150" t="s">
        <v>11</v>
      </c>
      <c r="E150">
        <v>1443</v>
      </c>
      <c r="F150">
        <v>44733</v>
      </c>
    </row>
    <row r="151" spans="1:6" x14ac:dyDescent="0.35">
      <c r="A151">
        <v>3</v>
      </c>
      <c r="B151" t="str">
        <f>CHOOSE(Table2[[#This Row],[Month]], "Jan","Feb","Mar","Apr","May","Jun","Jul","Aug","Sep","Oct","Nov","Dec")</f>
        <v>Mar</v>
      </c>
      <c r="C151" t="s">
        <v>123</v>
      </c>
      <c r="D151" t="s">
        <v>17</v>
      </c>
      <c r="E151">
        <v>2570</v>
      </c>
      <c r="F151">
        <v>115650</v>
      </c>
    </row>
    <row r="152" spans="1:6" x14ac:dyDescent="0.35">
      <c r="A152">
        <v>4</v>
      </c>
      <c r="B152" t="str">
        <f>CHOOSE(Table2[[#This Row],[Month]], "Jan","Feb","Mar","Apr","May","Jun","Jul","Aug","Sep","Oct","Nov","Dec")</f>
        <v>Apr</v>
      </c>
      <c r="C152" t="s">
        <v>8</v>
      </c>
      <c r="D152" t="s">
        <v>11</v>
      </c>
      <c r="E152">
        <v>4190</v>
      </c>
      <c r="F152">
        <v>506990</v>
      </c>
    </row>
    <row r="153" spans="1:6" x14ac:dyDescent="0.35">
      <c r="A153">
        <v>4</v>
      </c>
      <c r="B153" t="str">
        <f>CHOOSE(Table2[[#This Row],[Month]], "Jan","Feb","Mar","Apr","May","Jun","Jul","Aug","Sep","Oct","Nov","Dec")</f>
        <v>Apr</v>
      </c>
      <c r="C153" t="s">
        <v>15</v>
      </c>
      <c r="D153" t="s">
        <v>31</v>
      </c>
      <c r="E153">
        <v>2744</v>
      </c>
      <c r="F153">
        <v>257936</v>
      </c>
    </row>
    <row r="154" spans="1:6" x14ac:dyDescent="0.35">
      <c r="A154">
        <v>4</v>
      </c>
      <c r="B154" t="str">
        <f>CHOOSE(Table2[[#This Row],[Month]], "Jan","Feb","Mar","Apr","May","Jun","Jul","Aug","Sep","Oct","Nov","Dec")</f>
        <v>Apr</v>
      </c>
      <c r="C154" t="s">
        <v>19</v>
      </c>
      <c r="D154" t="s">
        <v>21</v>
      </c>
      <c r="E154">
        <v>4559</v>
      </c>
      <c r="F154">
        <v>665614</v>
      </c>
    </row>
    <row r="155" spans="1:6" x14ac:dyDescent="0.35">
      <c r="A155">
        <v>4</v>
      </c>
      <c r="B155" t="str">
        <f>CHOOSE(Table2[[#This Row],[Month]], "Jan","Feb","Mar","Apr","May","Jun","Jul","Aug","Sep","Oct","Nov","Dec")</f>
        <v>Apr</v>
      </c>
      <c r="C155" t="s">
        <v>24</v>
      </c>
      <c r="D155" t="s">
        <v>31</v>
      </c>
      <c r="E155">
        <v>4139</v>
      </c>
      <c r="F155">
        <v>562904</v>
      </c>
    </row>
    <row r="156" spans="1:6" x14ac:dyDescent="0.35">
      <c r="A156">
        <v>4</v>
      </c>
      <c r="B156" t="str">
        <f>CHOOSE(Table2[[#This Row],[Month]], "Jan","Feb","Mar","Apr","May","Jun","Jul","Aug","Sep","Oct","Nov","Dec")</f>
        <v>Apr</v>
      </c>
      <c r="C156" t="s">
        <v>28</v>
      </c>
      <c r="D156" t="s">
        <v>21</v>
      </c>
      <c r="E156">
        <v>4961</v>
      </c>
      <c r="F156">
        <v>213323</v>
      </c>
    </row>
    <row r="157" spans="1:6" x14ac:dyDescent="0.35">
      <c r="A157">
        <v>4</v>
      </c>
      <c r="B157" t="str">
        <f>CHOOSE(Table2[[#This Row],[Month]], "Jan","Feb","Mar","Apr","May","Jun","Jul","Aug","Sep","Oct","Nov","Dec")</f>
        <v>Apr</v>
      </c>
      <c r="C157" t="s">
        <v>33</v>
      </c>
      <c r="D157" t="s">
        <v>21</v>
      </c>
      <c r="E157">
        <v>371</v>
      </c>
      <c r="F157">
        <v>26341</v>
      </c>
    </row>
    <row r="158" spans="1:6" x14ac:dyDescent="0.35">
      <c r="A158">
        <v>4</v>
      </c>
      <c r="B158" t="str">
        <f>CHOOSE(Table2[[#This Row],[Month]], "Jan","Feb","Mar","Apr","May","Jun","Jul","Aug","Sep","Oct","Nov","Dec")</f>
        <v>Apr</v>
      </c>
      <c r="C158" t="s">
        <v>36</v>
      </c>
      <c r="D158" t="s">
        <v>21</v>
      </c>
      <c r="E158">
        <v>901</v>
      </c>
      <c r="F158">
        <v>26129</v>
      </c>
    </row>
    <row r="159" spans="1:6" x14ac:dyDescent="0.35">
      <c r="A159">
        <v>4</v>
      </c>
      <c r="B159" t="str">
        <f>CHOOSE(Table2[[#This Row],[Month]], "Jan","Feb","Mar","Apr","May","Jun","Jul","Aug","Sep","Oct","Nov","Dec")</f>
        <v>Apr</v>
      </c>
      <c r="C159" t="s">
        <v>39</v>
      </c>
      <c r="D159" t="s">
        <v>31</v>
      </c>
      <c r="E159">
        <v>257</v>
      </c>
      <c r="F159">
        <v>16705</v>
      </c>
    </row>
    <row r="160" spans="1:6" x14ac:dyDescent="0.35">
      <c r="A160">
        <v>4</v>
      </c>
      <c r="B160" t="str">
        <f>CHOOSE(Table2[[#This Row],[Month]], "Jan","Feb","Mar","Apr","May","Jun","Jul","Aug","Sep","Oct","Nov","Dec")</f>
        <v>Apr</v>
      </c>
      <c r="C160" t="s">
        <v>41</v>
      </c>
      <c r="D160" t="s">
        <v>21</v>
      </c>
      <c r="E160">
        <v>634</v>
      </c>
      <c r="F160">
        <v>86858</v>
      </c>
    </row>
    <row r="161" spans="1:6" x14ac:dyDescent="0.35">
      <c r="A161">
        <v>4</v>
      </c>
      <c r="B161" t="str">
        <f>CHOOSE(Table2[[#This Row],[Month]], "Jan","Feb","Mar","Apr","May","Jun","Jul","Aug","Sep","Oct","Nov","Dec")</f>
        <v>Apr</v>
      </c>
      <c r="C161" t="s">
        <v>43</v>
      </c>
      <c r="D161" t="s">
        <v>17</v>
      </c>
      <c r="E161">
        <v>2426</v>
      </c>
      <c r="F161">
        <v>288694</v>
      </c>
    </row>
    <row r="162" spans="1:6" x14ac:dyDescent="0.35">
      <c r="A162">
        <v>4</v>
      </c>
      <c r="B162" t="str">
        <f>CHOOSE(Table2[[#This Row],[Month]], "Jan","Feb","Mar","Apr","May","Jun","Jul","Aug","Sep","Oct","Nov","Dec")</f>
        <v>Apr</v>
      </c>
      <c r="C162" t="s">
        <v>45</v>
      </c>
      <c r="D162" t="s">
        <v>31</v>
      </c>
      <c r="E162">
        <v>4968</v>
      </c>
      <c r="F162">
        <v>471960</v>
      </c>
    </row>
    <row r="163" spans="1:6" x14ac:dyDescent="0.35">
      <c r="A163">
        <v>4</v>
      </c>
      <c r="B163" t="str">
        <f>CHOOSE(Table2[[#This Row],[Month]], "Jan","Feb","Mar","Apr","May","Jun","Jul","Aug","Sep","Oct","Nov","Dec")</f>
        <v>Apr</v>
      </c>
      <c r="C163" t="s">
        <v>47</v>
      </c>
      <c r="D163" t="s">
        <v>17</v>
      </c>
      <c r="E163">
        <v>3314</v>
      </c>
      <c r="F163">
        <v>321458</v>
      </c>
    </row>
    <row r="164" spans="1:6" x14ac:dyDescent="0.35">
      <c r="A164">
        <v>4</v>
      </c>
      <c r="B164" t="str">
        <f>CHOOSE(Table2[[#This Row],[Month]], "Jan","Feb","Mar","Apr","May","Jun","Jul","Aug","Sep","Oct","Nov","Dec")</f>
        <v>Apr</v>
      </c>
      <c r="C164" t="s">
        <v>49</v>
      </c>
      <c r="D164" t="s">
        <v>31</v>
      </c>
      <c r="E164">
        <v>2426</v>
      </c>
      <c r="F164">
        <v>135856</v>
      </c>
    </row>
    <row r="165" spans="1:6" x14ac:dyDescent="0.35">
      <c r="A165">
        <v>4</v>
      </c>
      <c r="B165" t="str">
        <f>CHOOSE(Table2[[#This Row],[Month]], "Jan","Feb","Mar","Apr","May","Jun","Jul","Aug","Sep","Oct","Nov","Dec")</f>
        <v>Apr</v>
      </c>
      <c r="C165" t="s">
        <v>51</v>
      </c>
      <c r="D165" t="s">
        <v>11</v>
      </c>
      <c r="E165">
        <v>2644</v>
      </c>
      <c r="F165">
        <v>74032</v>
      </c>
    </row>
    <row r="166" spans="1:6" x14ac:dyDescent="0.35">
      <c r="A166">
        <v>4</v>
      </c>
      <c r="B166" t="str">
        <f>CHOOSE(Table2[[#This Row],[Month]], "Jan","Feb","Mar","Apr","May","Jun","Jul","Aug","Sep","Oct","Nov","Dec")</f>
        <v>Apr</v>
      </c>
      <c r="C166" t="s">
        <v>53</v>
      </c>
      <c r="D166" t="s">
        <v>31</v>
      </c>
      <c r="E166">
        <v>2433</v>
      </c>
      <c r="F166">
        <v>253032</v>
      </c>
    </row>
    <row r="167" spans="1:6" x14ac:dyDescent="0.35">
      <c r="A167">
        <v>4</v>
      </c>
      <c r="B167" t="str">
        <f>CHOOSE(Table2[[#This Row],[Month]], "Jan","Feb","Mar","Apr","May","Jun","Jul","Aug","Sep","Oct","Nov","Dec")</f>
        <v>Apr</v>
      </c>
      <c r="C167" t="s">
        <v>55</v>
      </c>
      <c r="D167" t="s">
        <v>21</v>
      </c>
      <c r="E167">
        <v>1200</v>
      </c>
      <c r="F167">
        <v>66000</v>
      </c>
    </row>
    <row r="168" spans="1:6" x14ac:dyDescent="0.35">
      <c r="A168">
        <v>4</v>
      </c>
      <c r="B168" t="str">
        <f>CHOOSE(Table2[[#This Row],[Month]], "Jan","Feb","Mar","Apr","May","Jun","Jul","Aug","Sep","Oct","Nov","Dec")</f>
        <v>Apr</v>
      </c>
      <c r="C168" t="s">
        <v>57</v>
      </c>
      <c r="D168" t="s">
        <v>31</v>
      </c>
      <c r="E168">
        <v>4013</v>
      </c>
      <c r="F168">
        <v>296962</v>
      </c>
    </row>
    <row r="169" spans="1:6" x14ac:dyDescent="0.35">
      <c r="A169">
        <v>4</v>
      </c>
      <c r="B169" t="str">
        <f>CHOOSE(Table2[[#This Row],[Month]], "Jan","Feb","Mar","Apr","May","Jun","Jul","Aug","Sep","Oct","Nov","Dec")</f>
        <v>Apr</v>
      </c>
      <c r="C169" t="s">
        <v>59</v>
      </c>
      <c r="D169" t="s">
        <v>17</v>
      </c>
      <c r="E169">
        <v>3038</v>
      </c>
      <c r="F169">
        <v>385826</v>
      </c>
    </row>
    <row r="170" spans="1:6" x14ac:dyDescent="0.35">
      <c r="A170">
        <v>4</v>
      </c>
      <c r="B170" t="str">
        <f>CHOOSE(Table2[[#This Row],[Month]], "Jan","Feb","Mar","Apr","May","Jun","Jul","Aug","Sep","Oct","Nov","Dec")</f>
        <v>Apr</v>
      </c>
      <c r="C170" t="s">
        <v>61</v>
      </c>
      <c r="D170" t="s">
        <v>17</v>
      </c>
      <c r="E170">
        <v>4540</v>
      </c>
      <c r="F170">
        <v>227000</v>
      </c>
    </row>
    <row r="171" spans="1:6" x14ac:dyDescent="0.35">
      <c r="A171">
        <v>4</v>
      </c>
      <c r="B171" t="str">
        <f>CHOOSE(Table2[[#This Row],[Month]], "Jan","Feb","Mar","Apr","May","Jun","Jul","Aug","Sep","Oct","Nov","Dec")</f>
        <v>Apr</v>
      </c>
      <c r="C171" t="s">
        <v>63</v>
      </c>
      <c r="D171" t="s">
        <v>21</v>
      </c>
      <c r="E171">
        <v>2292</v>
      </c>
      <c r="F171">
        <v>59592</v>
      </c>
    </row>
    <row r="172" spans="1:6" x14ac:dyDescent="0.35">
      <c r="A172">
        <v>4</v>
      </c>
      <c r="B172" t="str">
        <f>CHOOSE(Table2[[#This Row],[Month]], "Jan","Feb","Mar","Apr","May","Jun","Jul","Aug","Sep","Oct","Nov","Dec")</f>
        <v>Apr</v>
      </c>
      <c r="C172" t="s">
        <v>65</v>
      </c>
      <c r="D172" t="s">
        <v>17</v>
      </c>
      <c r="E172">
        <v>4035</v>
      </c>
      <c r="F172">
        <v>379290</v>
      </c>
    </row>
    <row r="173" spans="1:6" x14ac:dyDescent="0.35">
      <c r="A173">
        <v>4</v>
      </c>
      <c r="B173" t="str">
        <f>CHOOSE(Table2[[#This Row],[Month]], "Jan","Feb","Mar","Apr","May","Jun","Jul","Aug","Sep","Oct","Nov","Dec")</f>
        <v>Apr</v>
      </c>
      <c r="C173" t="s">
        <v>67</v>
      </c>
      <c r="D173" t="s">
        <v>21</v>
      </c>
      <c r="E173">
        <v>665</v>
      </c>
      <c r="F173">
        <v>45885</v>
      </c>
    </row>
    <row r="174" spans="1:6" x14ac:dyDescent="0.35">
      <c r="A174">
        <v>4</v>
      </c>
      <c r="B174" t="str">
        <f>CHOOSE(Table2[[#This Row],[Month]], "Jan","Feb","Mar","Apr","May","Jun","Jul","Aug","Sep","Oct","Nov","Dec")</f>
        <v>Apr</v>
      </c>
      <c r="C174" t="s">
        <v>69</v>
      </c>
      <c r="D174" t="s">
        <v>31</v>
      </c>
      <c r="E174">
        <v>3499</v>
      </c>
      <c r="F174">
        <v>286918</v>
      </c>
    </row>
    <row r="175" spans="1:6" x14ac:dyDescent="0.35">
      <c r="A175">
        <v>4</v>
      </c>
      <c r="B175" t="str">
        <f>CHOOSE(Table2[[#This Row],[Month]], "Jan","Feb","Mar","Apr","May","Jun","Jul","Aug","Sep","Oct","Nov","Dec")</f>
        <v>Apr</v>
      </c>
      <c r="C175" t="s">
        <v>71</v>
      </c>
      <c r="D175" t="s">
        <v>17</v>
      </c>
      <c r="E175">
        <v>3344</v>
      </c>
      <c r="F175">
        <v>481536</v>
      </c>
    </row>
    <row r="176" spans="1:6" x14ac:dyDescent="0.35">
      <c r="A176">
        <v>4</v>
      </c>
      <c r="B176" t="str">
        <f>CHOOSE(Table2[[#This Row],[Month]], "Jan","Feb","Mar","Apr","May","Jun","Jul","Aug","Sep","Oct","Nov","Dec")</f>
        <v>Apr</v>
      </c>
      <c r="C176" t="s">
        <v>73</v>
      </c>
      <c r="D176" t="s">
        <v>31</v>
      </c>
      <c r="E176">
        <v>503</v>
      </c>
      <c r="F176">
        <v>39234</v>
      </c>
    </row>
    <row r="177" spans="1:6" x14ac:dyDescent="0.35">
      <c r="A177">
        <v>4</v>
      </c>
      <c r="B177" t="str">
        <f>CHOOSE(Table2[[#This Row],[Month]], "Jan","Feb","Mar","Apr","May","Jun","Jul","Aug","Sep","Oct","Nov","Dec")</f>
        <v>Apr</v>
      </c>
      <c r="C177" t="s">
        <v>75</v>
      </c>
      <c r="D177" t="s">
        <v>17</v>
      </c>
      <c r="E177">
        <v>4264</v>
      </c>
      <c r="F177">
        <v>417872</v>
      </c>
    </row>
    <row r="178" spans="1:6" x14ac:dyDescent="0.35">
      <c r="A178">
        <v>4</v>
      </c>
      <c r="B178" t="str">
        <f>CHOOSE(Table2[[#This Row],[Month]], "Jan","Feb","Mar","Apr","May","Jun","Jul","Aug","Sep","Oct","Nov","Dec")</f>
        <v>Apr</v>
      </c>
      <c r="C178" t="s">
        <v>77</v>
      </c>
      <c r="D178" t="s">
        <v>11</v>
      </c>
      <c r="E178">
        <v>4909</v>
      </c>
      <c r="F178">
        <v>427083</v>
      </c>
    </row>
    <row r="179" spans="1:6" x14ac:dyDescent="0.35">
      <c r="A179">
        <v>4</v>
      </c>
      <c r="B179" t="str">
        <f>CHOOSE(Table2[[#This Row],[Month]], "Jan","Feb","Mar","Apr","May","Jun","Jul","Aug","Sep","Oct","Nov","Dec")</f>
        <v>Apr</v>
      </c>
      <c r="C179" t="s">
        <v>79</v>
      </c>
      <c r="D179" t="s">
        <v>21</v>
      </c>
      <c r="E179">
        <v>4210</v>
      </c>
      <c r="F179">
        <v>176820</v>
      </c>
    </row>
    <row r="180" spans="1:6" x14ac:dyDescent="0.35">
      <c r="A180">
        <v>4</v>
      </c>
      <c r="B180" t="str">
        <f>CHOOSE(Table2[[#This Row],[Month]], "Jan","Feb","Mar","Apr","May","Jun","Jul","Aug","Sep","Oct","Nov","Dec")</f>
        <v>Apr</v>
      </c>
      <c r="C180" t="s">
        <v>81</v>
      </c>
      <c r="D180" t="s">
        <v>31</v>
      </c>
      <c r="E180">
        <v>1889</v>
      </c>
      <c r="F180">
        <v>52892</v>
      </c>
    </row>
    <row r="181" spans="1:6" x14ac:dyDescent="0.35">
      <c r="A181">
        <v>4</v>
      </c>
      <c r="B181" t="str">
        <f>CHOOSE(Table2[[#This Row],[Month]], "Jan","Feb","Mar","Apr","May","Jun","Jul","Aug","Sep","Oct","Nov","Dec")</f>
        <v>Apr</v>
      </c>
      <c r="C181" t="s">
        <v>83</v>
      </c>
      <c r="D181" t="s">
        <v>17</v>
      </c>
      <c r="E181">
        <v>3916</v>
      </c>
      <c r="F181">
        <v>184052</v>
      </c>
    </row>
    <row r="182" spans="1:6" x14ac:dyDescent="0.35">
      <c r="A182">
        <v>4</v>
      </c>
      <c r="B182" t="str">
        <f>CHOOSE(Table2[[#This Row],[Month]], "Jan","Feb","Mar","Apr","May","Jun","Jul","Aug","Sep","Oct","Nov","Dec")</f>
        <v>Apr</v>
      </c>
      <c r="C182" t="s">
        <v>85</v>
      </c>
      <c r="D182" t="s">
        <v>17</v>
      </c>
      <c r="E182">
        <v>1756</v>
      </c>
      <c r="F182">
        <v>237060</v>
      </c>
    </row>
    <row r="183" spans="1:6" x14ac:dyDescent="0.35">
      <c r="A183">
        <v>4</v>
      </c>
      <c r="B183" t="str">
        <f>CHOOSE(Table2[[#This Row],[Month]], "Jan","Feb","Mar","Apr","May","Jun","Jul","Aug","Sep","Oct","Nov","Dec")</f>
        <v>Apr</v>
      </c>
      <c r="C183" t="s">
        <v>87</v>
      </c>
      <c r="D183" t="s">
        <v>11</v>
      </c>
      <c r="E183">
        <v>2208</v>
      </c>
      <c r="F183">
        <v>229632</v>
      </c>
    </row>
    <row r="184" spans="1:6" x14ac:dyDescent="0.35">
      <c r="A184">
        <v>4</v>
      </c>
      <c r="B184" t="str">
        <f>CHOOSE(Table2[[#This Row],[Month]], "Jan","Feb","Mar","Apr","May","Jun","Jul","Aug","Sep","Oct","Nov","Dec")</f>
        <v>Apr</v>
      </c>
      <c r="C184" t="s">
        <v>89</v>
      </c>
      <c r="D184" t="s">
        <v>31</v>
      </c>
      <c r="E184">
        <v>2122</v>
      </c>
      <c r="F184">
        <v>108222</v>
      </c>
    </row>
    <row r="185" spans="1:6" x14ac:dyDescent="0.35">
      <c r="A185">
        <v>4</v>
      </c>
      <c r="B185" t="str">
        <f>CHOOSE(Table2[[#This Row],[Month]], "Jan","Feb","Mar","Apr","May","Jun","Jul","Aug","Sep","Oct","Nov","Dec")</f>
        <v>Apr</v>
      </c>
      <c r="C185" t="s">
        <v>91</v>
      </c>
      <c r="D185" t="s">
        <v>17</v>
      </c>
      <c r="E185">
        <v>1361</v>
      </c>
      <c r="F185">
        <v>62606</v>
      </c>
    </row>
    <row r="186" spans="1:6" x14ac:dyDescent="0.35">
      <c r="A186">
        <v>4</v>
      </c>
      <c r="B186" t="str">
        <f>CHOOSE(Table2[[#This Row],[Month]], "Jan","Feb","Mar","Apr","May","Jun","Jul","Aug","Sep","Oct","Nov","Dec")</f>
        <v>Apr</v>
      </c>
      <c r="C186" t="s">
        <v>93</v>
      </c>
      <c r="D186" t="s">
        <v>21</v>
      </c>
      <c r="E186">
        <v>263</v>
      </c>
      <c r="F186">
        <v>19462</v>
      </c>
    </row>
    <row r="187" spans="1:6" x14ac:dyDescent="0.35">
      <c r="A187">
        <v>4</v>
      </c>
      <c r="B187" t="str">
        <f>CHOOSE(Table2[[#This Row],[Month]], "Jan","Feb","Mar","Apr","May","Jun","Jul","Aug","Sep","Oct","Nov","Dec")</f>
        <v>Apr</v>
      </c>
      <c r="C187" t="s">
        <v>95</v>
      </c>
      <c r="D187" t="s">
        <v>11</v>
      </c>
      <c r="E187">
        <v>856</v>
      </c>
      <c r="F187">
        <v>44512</v>
      </c>
    </row>
    <row r="188" spans="1:6" x14ac:dyDescent="0.35">
      <c r="A188">
        <v>4</v>
      </c>
      <c r="B188" t="str">
        <f>CHOOSE(Table2[[#This Row],[Month]], "Jan","Feb","Mar","Apr","May","Jun","Jul","Aug","Sep","Oct","Nov","Dec")</f>
        <v>Apr</v>
      </c>
      <c r="C188" t="s">
        <v>97</v>
      </c>
      <c r="D188" t="s">
        <v>21</v>
      </c>
      <c r="E188">
        <v>2744</v>
      </c>
      <c r="F188">
        <v>137200</v>
      </c>
    </row>
    <row r="189" spans="1:6" x14ac:dyDescent="0.35">
      <c r="A189">
        <v>4</v>
      </c>
      <c r="B189" t="str">
        <f>CHOOSE(Table2[[#This Row],[Month]], "Jan","Feb","Mar","Apr","May","Jun","Jul","Aug","Sep","Oct","Nov","Dec")</f>
        <v>Apr</v>
      </c>
      <c r="C189" t="s">
        <v>99</v>
      </c>
      <c r="D189" t="s">
        <v>21</v>
      </c>
      <c r="E189">
        <v>1629</v>
      </c>
      <c r="F189">
        <v>52128</v>
      </c>
    </row>
    <row r="190" spans="1:6" x14ac:dyDescent="0.35">
      <c r="A190">
        <v>4</v>
      </c>
      <c r="B190" t="str">
        <f>CHOOSE(Table2[[#This Row],[Month]], "Jan","Feb","Mar","Apr","May","Jun","Jul","Aug","Sep","Oct","Nov","Dec")</f>
        <v>Apr</v>
      </c>
      <c r="C190" t="s">
        <v>101</v>
      </c>
      <c r="D190" t="s">
        <v>17</v>
      </c>
      <c r="E190">
        <v>3401</v>
      </c>
      <c r="F190">
        <v>248273</v>
      </c>
    </row>
    <row r="191" spans="1:6" x14ac:dyDescent="0.35">
      <c r="A191">
        <v>4</v>
      </c>
      <c r="B191" t="str">
        <f>CHOOSE(Table2[[#This Row],[Month]], "Jan","Feb","Mar","Apr","May","Jun","Jul","Aug","Sep","Oct","Nov","Dec")</f>
        <v>Apr</v>
      </c>
      <c r="C191" t="s">
        <v>103</v>
      </c>
      <c r="D191" t="s">
        <v>21</v>
      </c>
      <c r="E191">
        <v>2020</v>
      </c>
      <c r="F191">
        <v>151500</v>
      </c>
    </row>
    <row r="192" spans="1:6" x14ac:dyDescent="0.35">
      <c r="A192">
        <v>4</v>
      </c>
      <c r="B192" t="str">
        <f>CHOOSE(Table2[[#This Row],[Month]], "Jan","Feb","Mar","Apr","May","Jun","Jul","Aug","Sep","Oct","Nov","Dec")</f>
        <v>Apr</v>
      </c>
      <c r="C192" t="s">
        <v>105</v>
      </c>
      <c r="D192" t="s">
        <v>11</v>
      </c>
      <c r="E192">
        <v>1223</v>
      </c>
      <c r="F192">
        <v>139422</v>
      </c>
    </row>
    <row r="193" spans="1:6" x14ac:dyDescent="0.35">
      <c r="A193">
        <v>4</v>
      </c>
      <c r="B193" t="str">
        <f>CHOOSE(Table2[[#This Row],[Month]], "Jan","Feb","Mar","Apr","May","Jun","Jul","Aug","Sep","Oct","Nov","Dec")</f>
        <v>Apr</v>
      </c>
      <c r="C193" t="s">
        <v>107</v>
      </c>
      <c r="D193" t="s">
        <v>11</v>
      </c>
      <c r="E193">
        <v>2320</v>
      </c>
      <c r="F193">
        <v>97440</v>
      </c>
    </row>
    <row r="194" spans="1:6" x14ac:dyDescent="0.35">
      <c r="A194">
        <v>4</v>
      </c>
      <c r="B194" t="str">
        <f>CHOOSE(Table2[[#This Row],[Month]], "Jan","Feb","Mar","Apr","May","Jun","Jul","Aug","Sep","Oct","Nov","Dec")</f>
        <v>Apr</v>
      </c>
      <c r="C194" t="s">
        <v>109</v>
      </c>
      <c r="D194" t="s">
        <v>21</v>
      </c>
      <c r="E194">
        <v>566</v>
      </c>
      <c r="F194">
        <v>12452</v>
      </c>
    </row>
    <row r="195" spans="1:6" x14ac:dyDescent="0.35">
      <c r="A195">
        <v>4</v>
      </c>
      <c r="B195" t="str">
        <f>CHOOSE(Table2[[#This Row],[Month]], "Jan","Feb","Mar","Apr","May","Jun","Jul","Aug","Sep","Oct","Nov","Dec")</f>
        <v>Apr</v>
      </c>
      <c r="C195" t="s">
        <v>111</v>
      </c>
      <c r="D195" t="s">
        <v>21</v>
      </c>
      <c r="E195">
        <v>2804</v>
      </c>
      <c r="F195">
        <v>173848</v>
      </c>
    </row>
    <row r="196" spans="1:6" x14ac:dyDescent="0.35">
      <c r="A196">
        <v>4</v>
      </c>
      <c r="B196" t="str">
        <f>CHOOSE(Table2[[#This Row],[Month]], "Jan","Feb","Mar","Apr","May","Jun","Jul","Aug","Sep","Oct","Nov","Dec")</f>
        <v>Apr</v>
      </c>
      <c r="C196" t="s">
        <v>113</v>
      </c>
      <c r="D196" t="s">
        <v>17</v>
      </c>
      <c r="E196">
        <v>508</v>
      </c>
      <c r="F196">
        <v>55372</v>
      </c>
    </row>
    <row r="197" spans="1:6" x14ac:dyDescent="0.35">
      <c r="A197">
        <v>4</v>
      </c>
      <c r="B197" t="str">
        <f>CHOOSE(Table2[[#This Row],[Month]], "Jan","Feb","Mar","Apr","May","Jun","Jul","Aug","Sep","Oct","Nov","Dec")</f>
        <v>Apr</v>
      </c>
      <c r="C197" t="s">
        <v>115</v>
      </c>
      <c r="D197" t="s">
        <v>11</v>
      </c>
      <c r="E197">
        <v>2973</v>
      </c>
      <c r="F197">
        <v>181353</v>
      </c>
    </row>
    <row r="198" spans="1:6" x14ac:dyDescent="0.35">
      <c r="A198">
        <v>4</v>
      </c>
      <c r="B198" t="str">
        <f>CHOOSE(Table2[[#This Row],[Month]], "Jan","Feb","Mar","Apr","May","Jun","Jul","Aug","Sep","Oct","Nov","Dec")</f>
        <v>Apr</v>
      </c>
      <c r="C198" t="s">
        <v>117</v>
      </c>
      <c r="D198" t="s">
        <v>11</v>
      </c>
      <c r="E198">
        <v>337</v>
      </c>
      <c r="F198">
        <v>19209</v>
      </c>
    </row>
    <row r="199" spans="1:6" x14ac:dyDescent="0.35">
      <c r="A199">
        <v>4</v>
      </c>
      <c r="B199" t="str">
        <f>CHOOSE(Table2[[#This Row],[Month]], "Jan","Feb","Mar","Apr","May","Jun","Jul","Aug","Sep","Oct","Nov","Dec")</f>
        <v>Apr</v>
      </c>
      <c r="C199" t="s">
        <v>119</v>
      </c>
      <c r="D199" t="s">
        <v>21</v>
      </c>
      <c r="E199">
        <v>369</v>
      </c>
      <c r="F199">
        <v>53874</v>
      </c>
    </row>
    <row r="200" spans="1:6" x14ac:dyDescent="0.35">
      <c r="A200">
        <v>4</v>
      </c>
      <c r="B200" t="str">
        <f>CHOOSE(Table2[[#This Row],[Month]], "Jan","Feb","Mar","Apr","May","Jun","Jul","Aug","Sep","Oct","Nov","Dec")</f>
        <v>Apr</v>
      </c>
      <c r="C200" t="s">
        <v>121</v>
      </c>
      <c r="D200" t="s">
        <v>21</v>
      </c>
      <c r="E200">
        <v>4462</v>
      </c>
      <c r="F200">
        <v>455124</v>
      </c>
    </row>
    <row r="201" spans="1:6" x14ac:dyDescent="0.35">
      <c r="A201">
        <v>4</v>
      </c>
      <c r="B201" t="str">
        <f>CHOOSE(Table2[[#This Row],[Month]], "Jan","Feb","Mar","Apr","May","Jun","Jul","Aug","Sep","Oct","Nov","Dec")</f>
        <v>Apr</v>
      </c>
      <c r="C201" t="s">
        <v>123</v>
      </c>
      <c r="D201" t="s">
        <v>11</v>
      </c>
      <c r="E201">
        <v>721</v>
      </c>
      <c r="F201">
        <v>45423</v>
      </c>
    </row>
    <row r="202" spans="1:6" x14ac:dyDescent="0.35">
      <c r="A202">
        <v>5</v>
      </c>
      <c r="B202" t="str">
        <f>CHOOSE(Table2[[#This Row],[Month]], "Jan","Feb","Mar","Apr","May","Jun","Jul","Aug","Sep","Oct","Nov","Dec")</f>
        <v>May</v>
      </c>
      <c r="C202" t="s">
        <v>8</v>
      </c>
      <c r="D202" t="s">
        <v>11</v>
      </c>
      <c r="E202">
        <v>1433</v>
      </c>
      <c r="F202">
        <v>199187</v>
      </c>
    </row>
    <row r="203" spans="1:6" x14ac:dyDescent="0.35">
      <c r="A203">
        <v>5</v>
      </c>
      <c r="B203" t="str">
        <f>CHOOSE(Table2[[#This Row],[Month]], "Jan","Feb","Mar","Apr","May","Jun","Jul","Aug","Sep","Oct","Nov","Dec")</f>
        <v>May</v>
      </c>
      <c r="C203" t="s">
        <v>15</v>
      </c>
      <c r="D203" t="s">
        <v>17</v>
      </c>
      <c r="E203">
        <v>1294</v>
      </c>
      <c r="F203">
        <v>41408</v>
      </c>
    </row>
    <row r="204" spans="1:6" x14ac:dyDescent="0.35">
      <c r="A204">
        <v>5</v>
      </c>
      <c r="B204" t="str">
        <f>CHOOSE(Table2[[#This Row],[Month]], "Jan","Feb","Mar","Apr","May","Jun","Jul","Aug","Sep","Oct","Nov","Dec")</f>
        <v>May</v>
      </c>
      <c r="C204" t="s">
        <v>19</v>
      </c>
      <c r="D204" t="s">
        <v>17</v>
      </c>
      <c r="E204">
        <v>4408</v>
      </c>
      <c r="F204">
        <v>264480</v>
      </c>
    </row>
    <row r="205" spans="1:6" x14ac:dyDescent="0.35">
      <c r="A205">
        <v>5</v>
      </c>
      <c r="B205" t="str">
        <f>CHOOSE(Table2[[#This Row],[Month]], "Jan","Feb","Mar","Apr","May","Jun","Jul","Aug","Sep","Oct","Nov","Dec")</f>
        <v>May</v>
      </c>
      <c r="C205" t="s">
        <v>24</v>
      </c>
      <c r="D205" t="s">
        <v>31</v>
      </c>
      <c r="E205">
        <v>4248</v>
      </c>
      <c r="F205">
        <v>297360</v>
      </c>
    </row>
    <row r="206" spans="1:6" x14ac:dyDescent="0.35">
      <c r="A206">
        <v>5</v>
      </c>
      <c r="B206" t="str">
        <f>CHOOSE(Table2[[#This Row],[Month]], "Jan","Feb","Mar","Apr","May","Jun","Jul","Aug","Sep","Oct","Nov","Dec")</f>
        <v>May</v>
      </c>
      <c r="C206" t="s">
        <v>28</v>
      </c>
      <c r="D206" t="s">
        <v>21</v>
      </c>
      <c r="E206">
        <v>4746</v>
      </c>
      <c r="F206">
        <v>673932</v>
      </c>
    </row>
    <row r="207" spans="1:6" x14ac:dyDescent="0.35">
      <c r="A207">
        <v>5</v>
      </c>
      <c r="B207" t="str">
        <f>CHOOSE(Table2[[#This Row],[Month]], "Jan","Feb","Mar","Apr","May","Jun","Jul","Aug","Sep","Oct","Nov","Dec")</f>
        <v>May</v>
      </c>
      <c r="C207" t="s">
        <v>33</v>
      </c>
      <c r="D207" t="s">
        <v>11</v>
      </c>
      <c r="E207">
        <v>2472</v>
      </c>
      <c r="F207">
        <v>200232</v>
      </c>
    </row>
    <row r="208" spans="1:6" x14ac:dyDescent="0.35">
      <c r="A208">
        <v>5</v>
      </c>
      <c r="B208" t="str">
        <f>CHOOSE(Table2[[#This Row],[Month]], "Jan","Feb","Mar","Apr","May","Jun","Jul","Aug","Sep","Oct","Nov","Dec")</f>
        <v>May</v>
      </c>
      <c r="C208" t="s">
        <v>36</v>
      </c>
      <c r="D208" t="s">
        <v>17</v>
      </c>
      <c r="E208">
        <v>3363</v>
      </c>
      <c r="F208">
        <v>127794</v>
      </c>
    </row>
    <row r="209" spans="1:6" x14ac:dyDescent="0.35">
      <c r="A209">
        <v>5</v>
      </c>
      <c r="B209" t="str">
        <f>CHOOSE(Table2[[#This Row],[Month]], "Jan","Feb","Mar","Apr","May","Jun","Jul","Aug","Sep","Oct","Nov","Dec")</f>
        <v>May</v>
      </c>
      <c r="C209" t="s">
        <v>39</v>
      </c>
      <c r="D209" t="s">
        <v>31</v>
      </c>
      <c r="E209">
        <v>3135</v>
      </c>
      <c r="F209">
        <v>153615</v>
      </c>
    </row>
    <row r="210" spans="1:6" x14ac:dyDescent="0.35">
      <c r="A210">
        <v>5</v>
      </c>
      <c r="B210" t="str">
        <f>CHOOSE(Table2[[#This Row],[Month]], "Jan","Feb","Mar","Apr","May","Jun","Jul","Aug","Sep","Oct","Nov","Dec")</f>
        <v>May</v>
      </c>
      <c r="C210" t="s">
        <v>41</v>
      </c>
      <c r="D210" t="s">
        <v>17</v>
      </c>
      <c r="E210">
        <v>1490</v>
      </c>
      <c r="F210">
        <v>37250</v>
      </c>
    </row>
    <row r="211" spans="1:6" x14ac:dyDescent="0.35">
      <c r="A211">
        <v>5</v>
      </c>
      <c r="B211" t="str">
        <f>CHOOSE(Table2[[#This Row],[Month]], "Jan","Feb","Mar","Apr","May","Jun","Jul","Aug","Sep","Oct","Nov","Dec")</f>
        <v>May</v>
      </c>
      <c r="C211" t="s">
        <v>43</v>
      </c>
      <c r="D211" t="s">
        <v>21</v>
      </c>
      <c r="E211">
        <v>2305</v>
      </c>
      <c r="F211">
        <v>218975</v>
      </c>
    </row>
    <row r="212" spans="1:6" x14ac:dyDescent="0.35">
      <c r="A212">
        <v>5</v>
      </c>
      <c r="B212" t="str">
        <f>CHOOSE(Table2[[#This Row],[Month]], "Jan","Feb","Mar","Apr","May","Jun","Jul","Aug","Sep","Oct","Nov","Dec")</f>
        <v>May</v>
      </c>
      <c r="C212" t="s">
        <v>45</v>
      </c>
      <c r="D212" t="s">
        <v>21</v>
      </c>
      <c r="E212">
        <v>3883</v>
      </c>
      <c r="F212">
        <v>462077</v>
      </c>
    </row>
    <row r="213" spans="1:6" x14ac:dyDescent="0.35">
      <c r="A213">
        <v>5</v>
      </c>
      <c r="B213" t="str">
        <f>CHOOSE(Table2[[#This Row],[Month]], "Jan","Feb","Mar","Apr","May","Jun","Jul","Aug","Sep","Oct","Nov","Dec")</f>
        <v>May</v>
      </c>
      <c r="C213" t="s">
        <v>47</v>
      </c>
      <c r="D213" t="s">
        <v>17</v>
      </c>
      <c r="E213">
        <v>2534</v>
      </c>
      <c r="F213">
        <v>119098</v>
      </c>
    </row>
    <row r="214" spans="1:6" x14ac:dyDescent="0.35">
      <c r="A214">
        <v>5</v>
      </c>
      <c r="B214" t="str">
        <f>CHOOSE(Table2[[#This Row],[Month]], "Jan","Feb","Mar","Apr","May","Jun","Jul","Aug","Sep","Oct","Nov","Dec")</f>
        <v>May</v>
      </c>
      <c r="C214" t="s">
        <v>49</v>
      </c>
      <c r="D214" t="s">
        <v>31</v>
      </c>
      <c r="E214">
        <v>198</v>
      </c>
      <c r="F214">
        <v>14850</v>
      </c>
    </row>
    <row r="215" spans="1:6" x14ac:dyDescent="0.35">
      <c r="A215">
        <v>5</v>
      </c>
      <c r="B215" t="str">
        <f>CHOOSE(Table2[[#This Row],[Month]], "Jan","Feb","Mar","Apr","May","Jun","Jul","Aug","Sep","Oct","Nov","Dec")</f>
        <v>May</v>
      </c>
      <c r="C215" t="s">
        <v>51</v>
      </c>
      <c r="D215" t="s">
        <v>17</v>
      </c>
      <c r="E215">
        <v>2078</v>
      </c>
      <c r="F215">
        <v>103900</v>
      </c>
    </row>
    <row r="216" spans="1:6" x14ac:dyDescent="0.35">
      <c r="A216">
        <v>5</v>
      </c>
      <c r="B216" t="str">
        <f>CHOOSE(Table2[[#This Row],[Month]], "Jan","Feb","Mar","Apr","May","Jun","Jul","Aug","Sep","Oct","Nov","Dec")</f>
        <v>May</v>
      </c>
      <c r="C216" t="s">
        <v>53</v>
      </c>
      <c r="D216" t="s">
        <v>21</v>
      </c>
      <c r="E216">
        <v>416</v>
      </c>
      <c r="F216">
        <v>25376</v>
      </c>
    </row>
    <row r="217" spans="1:6" x14ac:dyDescent="0.35">
      <c r="A217">
        <v>5</v>
      </c>
      <c r="B217" t="str">
        <f>CHOOSE(Table2[[#This Row],[Month]], "Jan","Feb","Mar","Apr","May","Jun","Jul","Aug","Sep","Oct","Nov","Dec")</f>
        <v>May</v>
      </c>
      <c r="C217" t="s">
        <v>55</v>
      </c>
      <c r="D217" t="s">
        <v>21</v>
      </c>
      <c r="E217">
        <v>1620</v>
      </c>
      <c r="F217">
        <v>147420</v>
      </c>
    </row>
    <row r="218" spans="1:6" x14ac:dyDescent="0.35">
      <c r="A218">
        <v>5</v>
      </c>
      <c r="B218" t="str">
        <f>CHOOSE(Table2[[#This Row],[Month]], "Jan","Feb","Mar","Apr","May","Jun","Jul","Aug","Sep","Oct","Nov","Dec")</f>
        <v>May</v>
      </c>
      <c r="C218" t="s">
        <v>57</v>
      </c>
      <c r="D218" t="s">
        <v>17</v>
      </c>
      <c r="E218">
        <v>3728</v>
      </c>
      <c r="F218">
        <v>208768</v>
      </c>
    </row>
    <row r="219" spans="1:6" x14ac:dyDescent="0.35">
      <c r="A219">
        <v>5</v>
      </c>
      <c r="B219" t="str">
        <f>CHOOSE(Table2[[#This Row],[Month]], "Jan","Feb","Mar","Apr","May","Jun","Jul","Aug","Sep","Oct","Nov","Dec")</f>
        <v>May</v>
      </c>
      <c r="C219" t="s">
        <v>59</v>
      </c>
      <c r="D219" t="s">
        <v>11</v>
      </c>
      <c r="E219">
        <v>641</v>
      </c>
      <c r="F219">
        <v>67946</v>
      </c>
    </row>
    <row r="220" spans="1:6" x14ac:dyDescent="0.35">
      <c r="A220">
        <v>5</v>
      </c>
      <c r="B220" t="str">
        <f>CHOOSE(Table2[[#This Row],[Month]], "Jan","Feb","Mar","Apr","May","Jun","Jul","Aug","Sep","Oct","Nov","Dec")</f>
        <v>May</v>
      </c>
      <c r="C220" t="s">
        <v>61</v>
      </c>
      <c r="D220" t="s">
        <v>21</v>
      </c>
      <c r="E220">
        <v>4327</v>
      </c>
      <c r="F220">
        <v>207696</v>
      </c>
    </row>
    <row r="221" spans="1:6" x14ac:dyDescent="0.35">
      <c r="A221">
        <v>5</v>
      </c>
      <c r="B221" t="str">
        <f>CHOOSE(Table2[[#This Row],[Month]], "Jan","Feb","Mar","Apr","May","Jun","Jul","Aug","Sep","Oct","Nov","Dec")</f>
        <v>May</v>
      </c>
      <c r="C221" t="s">
        <v>63</v>
      </c>
      <c r="D221" t="s">
        <v>17</v>
      </c>
      <c r="E221">
        <v>2317</v>
      </c>
      <c r="F221">
        <v>143654</v>
      </c>
    </row>
    <row r="222" spans="1:6" x14ac:dyDescent="0.35">
      <c r="A222">
        <v>5</v>
      </c>
      <c r="B222" t="str">
        <f>CHOOSE(Table2[[#This Row],[Month]], "Jan","Feb","Mar","Apr","May","Jun","Jul","Aug","Sep","Oct","Nov","Dec")</f>
        <v>May</v>
      </c>
      <c r="C222" t="s">
        <v>65</v>
      </c>
      <c r="D222" t="s">
        <v>21</v>
      </c>
      <c r="E222">
        <v>491</v>
      </c>
      <c r="F222">
        <v>18167</v>
      </c>
    </row>
    <row r="223" spans="1:6" x14ac:dyDescent="0.35">
      <c r="A223">
        <v>5</v>
      </c>
      <c r="B223" t="str">
        <f>CHOOSE(Table2[[#This Row],[Month]], "Jan","Feb","Mar","Apr","May","Jun","Jul","Aug","Sep","Oct","Nov","Dec")</f>
        <v>May</v>
      </c>
      <c r="C223" t="s">
        <v>67</v>
      </c>
      <c r="D223" t="s">
        <v>11</v>
      </c>
      <c r="E223">
        <v>4981</v>
      </c>
      <c r="F223">
        <v>418404</v>
      </c>
    </row>
    <row r="224" spans="1:6" x14ac:dyDescent="0.35">
      <c r="A224">
        <v>5</v>
      </c>
      <c r="B224" t="str">
        <f>CHOOSE(Table2[[#This Row],[Month]], "Jan","Feb","Mar","Apr","May","Jun","Jul","Aug","Sep","Oct","Nov","Dec")</f>
        <v>May</v>
      </c>
      <c r="C224" t="s">
        <v>69</v>
      </c>
      <c r="D224" t="s">
        <v>21</v>
      </c>
      <c r="E224">
        <v>610</v>
      </c>
      <c r="F224">
        <v>17690</v>
      </c>
    </row>
    <row r="225" spans="1:6" x14ac:dyDescent="0.35">
      <c r="A225">
        <v>5</v>
      </c>
      <c r="B225" t="str">
        <f>CHOOSE(Table2[[#This Row],[Month]], "Jan","Feb","Mar","Apr","May","Jun","Jul","Aug","Sep","Oct","Nov","Dec")</f>
        <v>May</v>
      </c>
      <c r="C225" t="s">
        <v>71</v>
      </c>
      <c r="D225" t="s">
        <v>31</v>
      </c>
      <c r="E225">
        <v>4293</v>
      </c>
      <c r="F225">
        <v>347733</v>
      </c>
    </row>
    <row r="226" spans="1:6" x14ac:dyDescent="0.35">
      <c r="A226">
        <v>5</v>
      </c>
      <c r="B226" t="str">
        <f>CHOOSE(Table2[[#This Row],[Month]], "Jan","Feb","Mar","Apr","May","Jun","Jul","Aug","Sep","Oct","Nov","Dec")</f>
        <v>May</v>
      </c>
      <c r="C226" t="s">
        <v>73</v>
      </c>
      <c r="D226" t="s">
        <v>21</v>
      </c>
      <c r="E226">
        <v>3437</v>
      </c>
      <c r="F226">
        <v>402129</v>
      </c>
    </row>
    <row r="227" spans="1:6" x14ac:dyDescent="0.35">
      <c r="A227">
        <v>5</v>
      </c>
      <c r="B227" t="str">
        <f>CHOOSE(Table2[[#This Row],[Month]], "Jan","Feb","Mar","Apr","May","Jun","Jul","Aug","Sep","Oct","Nov","Dec")</f>
        <v>May</v>
      </c>
      <c r="C227" t="s">
        <v>75</v>
      </c>
      <c r="D227" t="s">
        <v>17</v>
      </c>
      <c r="E227">
        <v>936</v>
      </c>
      <c r="F227">
        <v>84240</v>
      </c>
    </row>
    <row r="228" spans="1:6" x14ac:dyDescent="0.35">
      <c r="A228">
        <v>5</v>
      </c>
      <c r="B228" t="str">
        <f>CHOOSE(Table2[[#This Row],[Month]], "Jan","Feb","Mar","Apr","May","Jun","Jul","Aug","Sep","Oct","Nov","Dec")</f>
        <v>May</v>
      </c>
      <c r="C228" t="s">
        <v>77</v>
      </c>
      <c r="D228" t="s">
        <v>11</v>
      </c>
      <c r="E228">
        <v>1830</v>
      </c>
      <c r="F228">
        <v>96990</v>
      </c>
    </row>
    <row r="229" spans="1:6" x14ac:dyDescent="0.35">
      <c r="A229">
        <v>5</v>
      </c>
      <c r="B229" t="str">
        <f>CHOOSE(Table2[[#This Row],[Month]], "Jan","Feb","Mar","Apr","May","Jun","Jul","Aug","Sep","Oct","Nov","Dec")</f>
        <v>May</v>
      </c>
      <c r="C229" t="s">
        <v>79</v>
      </c>
      <c r="D229" t="s">
        <v>11</v>
      </c>
      <c r="E229">
        <v>2346</v>
      </c>
      <c r="F229">
        <v>211140</v>
      </c>
    </row>
    <row r="230" spans="1:6" x14ac:dyDescent="0.35">
      <c r="A230">
        <v>5</v>
      </c>
      <c r="B230" t="str">
        <f>CHOOSE(Table2[[#This Row],[Month]], "Jan","Feb","Mar","Apr","May","Jun","Jul","Aug","Sep","Oct","Nov","Dec")</f>
        <v>May</v>
      </c>
      <c r="C230" t="s">
        <v>81</v>
      </c>
      <c r="D230" t="s">
        <v>17</v>
      </c>
      <c r="E230">
        <v>4332</v>
      </c>
      <c r="F230">
        <v>485184</v>
      </c>
    </row>
    <row r="231" spans="1:6" x14ac:dyDescent="0.35">
      <c r="A231">
        <v>5</v>
      </c>
      <c r="B231" t="str">
        <f>CHOOSE(Table2[[#This Row],[Month]], "Jan","Feb","Mar","Apr","May","Jun","Jul","Aug","Sep","Oct","Nov","Dec")</f>
        <v>May</v>
      </c>
      <c r="C231" t="s">
        <v>83</v>
      </c>
      <c r="D231" t="s">
        <v>11</v>
      </c>
      <c r="E231">
        <v>1085</v>
      </c>
      <c r="F231">
        <v>24955</v>
      </c>
    </row>
    <row r="232" spans="1:6" x14ac:dyDescent="0.35">
      <c r="A232">
        <v>5</v>
      </c>
      <c r="B232" t="str">
        <f>CHOOSE(Table2[[#This Row],[Month]], "Jan","Feb","Mar","Apr","May","Jun","Jul","Aug","Sep","Oct","Nov","Dec")</f>
        <v>May</v>
      </c>
      <c r="C232" t="s">
        <v>85</v>
      </c>
      <c r="D232" t="s">
        <v>21</v>
      </c>
      <c r="E232">
        <v>3653</v>
      </c>
      <c r="F232">
        <v>131508</v>
      </c>
    </row>
    <row r="233" spans="1:6" x14ac:dyDescent="0.35">
      <c r="A233">
        <v>5</v>
      </c>
      <c r="B233" t="str">
        <f>CHOOSE(Table2[[#This Row],[Month]], "Jan","Feb","Mar","Apr","May","Jun","Jul","Aug","Sep","Oct","Nov","Dec")</f>
        <v>May</v>
      </c>
      <c r="C233" t="s">
        <v>87</v>
      </c>
      <c r="D233" t="s">
        <v>17</v>
      </c>
      <c r="E233">
        <v>2134</v>
      </c>
      <c r="F233">
        <v>168586</v>
      </c>
    </row>
    <row r="234" spans="1:6" x14ac:dyDescent="0.35">
      <c r="A234">
        <v>5</v>
      </c>
      <c r="B234" t="str">
        <f>CHOOSE(Table2[[#This Row],[Month]], "Jan","Feb","Mar","Apr","May","Jun","Jul","Aug","Sep","Oct","Nov","Dec")</f>
        <v>May</v>
      </c>
      <c r="C234" t="s">
        <v>89</v>
      </c>
      <c r="D234" t="s">
        <v>17</v>
      </c>
      <c r="E234">
        <v>3117</v>
      </c>
      <c r="F234">
        <v>302349</v>
      </c>
    </row>
    <row r="235" spans="1:6" x14ac:dyDescent="0.35">
      <c r="A235">
        <v>5</v>
      </c>
      <c r="B235" t="str">
        <f>CHOOSE(Table2[[#This Row],[Month]], "Jan","Feb","Mar","Apr","May","Jun","Jul","Aug","Sep","Oct","Nov","Dec")</f>
        <v>May</v>
      </c>
      <c r="C235" t="s">
        <v>91</v>
      </c>
      <c r="D235" t="s">
        <v>21</v>
      </c>
      <c r="E235">
        <v>4395</v>
      </c>
      <c r="F235">
        <v>549375</v>
      </c>
    </row>
    <row r="236" spans="1:6" x14ac:dyDescent="0.35">
      <c r="A236">
        <v>5</v>
      </c>
      <c r="B236" t="str">
        <f>CHOOSE(Table2[[#This Row],[Month]], "Jan","Feb","Mar","Apr","May","Jun","Jul","Aug","Sep","Oct","Nov","Dec")</f>
        <v>May</v>
      </c>
      <c r="C236" t="s">
        <v>93</v>
      </c>
      <c r="D236" t="s">
        <v>17</v>
      </c>
      <c r="E236">
        <v>1867</v>
      </c>
      <c r="F236">
        <v>158695</v>
      </c>
    </row>
    <row r="237" spans="1:6" x14ac:dyDescent="0.35">
      <c r="A237">
        <v>5</v>
      </c>
      <c r="B237" t="str">
        <f>CHOOSE(Table2[[#This Row],[Month]], "Jan","Feb","Mar","Apr","May","Jun","Jul","Aug","Sep","Oct","Nov","Dec")</f>
        <v>May</v>
      </c>
      <c r="C237" t="s">
        <v>95</v>
      </c>
      <c r="D237" t="s">
        <v>31</v>
      </c>
      <c r="E237">
        <v>3678</v>
      </c>
      <c r="F237">
        <v>342054</v>
      </c>
    </row>
    <row r="238" spans="1:6" x14ac:dyDescent="0.35">
      <c r="A238">
        <v>5</v>
      </c>
      <c r="B238" t="str">
        <f>CHOOSE(Table2[[#This Row],[Month]], "Jan","Feb","Mar","Apr","May","Jun","Jul","Aug","Sep","Oct","Nov","Dec")</f>
        <v>May</v>
      </c>
      <c r="C238" t="s">
        <v>97</v>
      </c>
      <c r="D238" t="s">
        <v>17</v>
      </c>
      <c r="E238">
        <v>3167</v>
      </c>
      <c r="F238">
        <v>247026</v>
      </c>
    </row>
    <row r="239" spans="1:6" x14ac:dyDescent="0.35">
      <c r="A239">
        <v>5</v>
      </c>
      <c r="B239" t="str">
        <f>CHOOSE(Table2[[#This Row],[Month]], "Jan","Feb","Mar","Apr","May","Jun","Jul","Aug","Sep","Oct","Nov","Dec")</f>
        <v>May</v>
      </c>
      <c r="C239" t="s">
        <v>99</v>
      </c>
      <c r="D239" t="s">
        <v>11</v>
      </c>
      <c r="E239">
        <v>3282</v>
      </c>
      <c r="F239">
        <v>301944</v>
      </c>
    </row>
    <row r="240" spans="1:6" x14ac:dyDescent="0.35">
      <c r="A240">
        <v>5</v>
      </c>
      <c r="B240" t="str">
        <f>CHOOSE(Table2[[#This Row],[Month]], "Jan","Feb","Mar","Apr","May","Jun","Jul","Aug","Sep","Oct","Nov","Dec")</f>
        <v>May</v>
      </c>
      <c r="C240" t="s">
        <v>101</v>
      </c>
      <c r="D240" t="s">
        <v>11</v>
      </c>
      <c r="E240">
        <v>393</v>
      </c>
      <c r="F240">
        <v>27117</v>
      </c>
    </row>
    <row r="241" spans="1:6" x14ac:dyDescent="0.35">
      <c r="A241">
        <v>5</v>
      </c>
      <c r="B241" t="str">
        <f>CHOOSE(Table2[[#This Row],[Month]], "Jan","Feb","Mar","Apr","May","Jun","Jul","Aug","Sep","Oct","Nov","Dec")</f>
        <v>May</v>
      </c>
      <c r="C241" t="s">
        <v>103</v>
      </c>
      <c r="D241" t="s">
        <v>31</v>
      </c>
      <c r="E241">
        <v>1894</v>
      </c>
      <c r="F241">
        <v>265160</v>
      </c>
    </row>
    <row r="242" spans="1:6" x14ac:dyDescent="0.35">
      <c r="A242">
        <v>5</v>
      </c>
      <c r="B242" t="str">
        <f>CHOOSE(Table2[[#This Row],[Month]], "Jan","Feb","Mar","Apr","May","Jun","Jul","Aug","Sep","Oct","Nov","Dec")</f>
        <v>May</v>
      </c>
      <c r="C242" t="s">
        <v>105</v>
      </c>
      <c r="D242" t="s">
        <v>21</v>
      </c>
      <c r="E242">
        <v>4368</v>
      </c>
      <c r="F242">
        <v>607152</v>
      </c>
    </row>
    <row r="243" spans="1:6" x14ac:dyDescent="0.35">
      <c r="A243">
        <v>5</v>
      </c>
      <c r="B243" t="str">
        <f>CHOOSE(Table2[[#This Row],[Month]], "Jan","Feb","Mar","Apr","May","Jun","Jul","Aug","Sep","Oct","Nov","Dec")</f>
        <v>May</v>
      </c>
      <c r="C243" t="s">
        <v>107</v>
      </c>
      <c r="D243" t="s">
        <v>31</v>
      </c>
      <c r="E243">
        <v>1781</v>
      </c>
      <c r="F243">
        <v>115765</v>
      </c>
    </row>
    <row r="244" spans="1:6" x14ac:dyDescent="0.35">
      <c r="A244">
        <v>5</v>
      </c>
      <c r="B244" t="str">
        <f>CHOOSE(Table2[[#This Row],[Month]], "Jan","Feb","Mar","Apr","May","Jun","Jul","Aug","Sep","Oct","Nov","Dec")</f>
        <v>May</v>
      </c>
      <c r="C244" t="s">
        <v>109</v>
      </c>
      <c r="D244" t="s">
        <v>21</v>
      </c>
      <c r="E244">
        <v>2272</v>
      </c>
      <c r="F244">
        <v>104512</v>
      </c>
    </row>
    <row r="245" spans="1:6" x14ac:dyDescent="0.35">
      <c r="A245">
        <v>5</v>
      </c>
      <c r="B245" t="str">
        <f>CHOOSE(Table2[[#This Row],[Month]], "Jan","Feb","Mar","Apr","May","Jun","Jul","Aug","Sep","Oct","Nov","Dec")</f>
        <v>May</v>
      </c>
      <c r="C245" t="s">
        <v>111</v>
      </c>
      <c r="D245" t="s">
        <v>31</v>
      </c>
      <c r="E245">
        <v>2697</v>
      </c>
      <c r="F245">
        <v>153729</v>
      </c>
    </row>
    <row r="246" spans="1:6" x14ac:dyDescent="0.35">
      <c r="A246">
        <v>5</v>
      </c>
      <c r="B246" t="str">
        <f>CHOOSE(Table2[[#This Row],[Month]], "Jan","Feb","Mar","Apr","May","Jun","Jul","Aug","Sep","Oct","Nov","Dec")</f>
        <v>May</v>
      </c>
      <c r="C246" t="s">
        <v>113</v>
      </c>
      <c r="D246" t="s">
        <v>17</v>
      </c>
      <c r="E246">
        <v>2952</v>
      </c>
      <c r="F246">
        <v>357192</v>
      </c>
    </row>
    <row r="247" spans="1:6" x14ac:dyDescent="0.35">
      <c r="A247">
        <v>5</v>
      </c>
      <c r="B247" t="str">
        <f>CHOOSE(Table2[[#This Row],[Month]], "Jan","Feb","Mar","Apr","May","Jun","Jul","Aug","Sep","Oct","Nov","Dec")</f>
        <v>May</v>
      </c>
      <c r="C247" t="s">
        <v>115</v>
      </c>
      <c r="D247" t="s">
        <v>11</v>
      </c>
      <c r="E247">
        <v>4136</v>
      </c>
      <c r="F247">
        <v>566632</v>
      </c>
    </row>
    <row r="248" spans="1:6" x14ac:dyDescent="0.35">
      <c r="A248">
        <v>5</v>
      </c>
      <c r="B248" t="str">
        <f>CHOOSE(Table2[[#This Row],[Month]], "Jan","Feb","Mar","Apr","May","Jun","Jul","Aug","Sep","Oct","Nov","Dec")</f>
        <v>May</v>
      </c>
      <c r="C248" t="s">
        <v>117</v>
      </c>
      <c r="D248" t="s">
        <v>31</v>
      </c>
      <c r="E248">
        <v>4799</v>
      </c>
      <c r="F248">
        <v>345528</v>
      </c>
    </row>
    <row r="249" spans="1:6" x14ac:dyDescent="0.35">
      <c r="A249">
        <v>5</v>
      </c>
      <c r="B249" t="str">
        <f>CHOOSE(Table2[[#This Row],[Month]], "Jan","Feb","Mar","Apr","May","Jun","Jul","Aug","Sep","Oct","Nov","Dec")</f>
        <v>May</v>
      </c>
      <c r="C249" t="s">
        <v>119</v>
      </c>
      <c r="D249" t="s">
        <v>31</v>
      </c>
      <c r="E249">
        <v>1412</v>
      </c>
      <c r="F249">
        <v>184972</v>
      </c>
    </row>
    <row r="250" spans="1:6" x14ac:dyDescent="0.35">
      <c r="A250">
        <v>5</v>
      </c>
      <c r="B250" t="str">
        <f>CHOOSE(Table2[[#This Row],[Month]], "Jan","Feb","Mar","Apr","May","Jun","Jul","Aug","Sep","Oct","Nov","Dec")</f>
        <v>May</v>
      </c>
      <c r="C250" t="s">
        <v>121</v>
      </c>
      <c r="D250" t="s">
        <v>31</v>
      </c>
      <c r="E250">
        <v>2525</v>
      </c>
      <c r="F250">
        <v>330775</v>
      </c>
    </row>
    <row r="251" spans="1:6" x14ac:dyDescent="0.35">
      <c r="A251">
        <v>5</v>
      </c>
      <c r="B251" t="str">
        <f>CHOOSE(Table2[[#This Row],[Month]], "Jan","Feb","Mar","Apr","May","Jun","Jul","Aug","Sep","Oct","Nov","Dec")</f>
        <v>May</v>
      </c>
      <c r="C251" t="s">
        <v>123</v>
      </c>
      <c r="D251" t="s">
        <v>31</v>
      </c>
      <c r="E251">
        <v>2777</v>
      </c>
      <c r="F251">
        <v>224937</v>
      </c>
    </row>
    <row r="252" spans="1:6" x14ac:dyDescent="0.35">
      <c r="A252">
        <v>6</v>
      </c>
      <c r="B252" t="str">
        <f>CHOOSE(Table2[[#This Row],[Month]], "Jan","Feb","Mar","Apr","May","Jun","Jul","Aug","Sep","Oct","Nov","Dec")</f>
        <v>Jun</v>
      </c>
      <c r="C252" t="s">
        <v>8</v>
      </c>
      <c r="D252" t="s">
        <v>31</v>
      </c>
      <c r="E252">
        <v>3224</v>
      </c>
      <c r="F252">
        <v>135408</v>
      </c>
    </row>
    <row r="253" spans="1:6" x14ac:dyDescent="0.35">
      <c r="A253">
        <v>6</v>
      </c>
      <c r="B253" t="str">
        <f>CHOOSE(Table2[[#This Row],[Month]], "Jan","Feb","Mar","Apr","May","Jun","Jul","Aug","Sep","Oct","Nov","Dec")</f>
        <v>Jun</v>
      </c>
      <c r="C253" t="s">
        <v>15</v>
      </c>
      <c r="D253" t="s">
        <v>21</v>
      </c>
      <c r="E253">
        <v>3512</v>
      </c>
      <c r="F253">
        <v>523288</v>
      </c>
    </row>
    <row r="254" spans="1:6" x14ac:dyDescent="0.35">
      <c r="A254">
        <v>6</v>
      </c>
      <c r="B254" t="str">
        <f>CHOOSE(Table2[[#This Row],[Month]], "Jan","Feb","Mar","Apr","May","Jun","Jul","Aug","Sep","Oct","Nov","Dec")</f>
        <v>Jun</v>
      </c>
      <c r="C254" t="s">
        <v>19</v>
      </c>
      <c r="D254" t="s">
        <v>11</v>
      </c>
      <c r="E254">
        <v>1187</v>
      </c>
      <c r="F254">
        <v>86651</v>
      </c>
    </row>
    <row r="255" spans="1:6" x14ac:dyDescent="0.35">
      <c r="A255">
        <v>6</v>
      </c>
      <c r="B255" t="str">
        <f>CHOOSE(Table2[[#This Row],[Month]], "Jan","Feb","Mar","Apr","May","Jun","Jul","Aug","Sep","Oct","Nov","Dec")</f>
        <v>Jun</v>
      </c>
      <c r="C255" t="s">
        <v>24</v>
      </c>
      <c r="D255" t="s">
        <v>31</v>
      </c>
      <c r="E255">
        <v>4504</v>
      </c>
      <c r="F255">
        <v>297264</v>
      </c>
    </row>
    <row r="256" spans="1:6" x14ac:dyDescent="0.35">
      <c r="A256">
        <v>6</v>
      </c>
      <c r="B256" t="str">
        <f>CHOOSE(Table2[[#This Row],[Month]], "Jan","Feb","Mar","Apr","May","Jun","Jul","Aug","Sep","Oct","Nov","Dec")</f>
        <v>Jun</v>
      </c>
      <c r="C256" t="s">
        <v>28</v>
      </c>
      <c r="D256" t="s">
        <v>21</v>
      </c>
      <c r="E256">
        <v>4327</v>
      </c>
      <c r="F256">
        <v>571164</v>
      </c>
    </row>
    <row r="257" spans="1:6" x14ac:dyDescent="0.35">
      <c r="A257">
        <v>6</v>
      </c>
      <c r="B257" t="str">
        <f>CHOOSE(Table2[[#This Row],[Month]], "Jan","Feb","Mar","Apr","May","Jun","Jul","Aug","Sep","Oct","Nov","Dec")</f>
        <v>Jun</v>
      </c>
      <c r="C257" t="s">
        <v>33</v>
      </c>
      <c r="D257" t="s">
        <v>17</v>
      </c>
      <c r="E257">
        <v>488</v>
      </c>
      <c r="F257">
        <v>69784</v>
      </c>
    </row>
    <row r="258" spans="1:6" x14ac:dyDescent="0.35">
      <c r="A258">
        <v>6</v>
      </c>
      <c r="B258" t="str">
        <f>CHOOSE(Table2[[#This Row],[Month]], "Jan","Feb","Mar","Apr","May","Jun","Jul","Aug","Sep","Oct","Nov","Dec")</f>
        <v>Jun</v>
      </c>
      <c r="C258" t="s">
        <v>36</v>
      </c>
      <c r="D258" t="s">
        <v>17</v>
      </c>
      <c r="E258">
        <v>3672</v>
      </c>
      <c r="F258">
        <v>216648</v>
      </c>
    </row>
    <row r="259" spans="1:6" x14ac:dyDescent="0.35">
      <c r="A259">
        <v>6</v>
      </c>
      <c r="B259" t="str">
        <f>CHOOSE(Table2[[#This Row],[Month]], "Jan","Feb","Mar","Apr","May","Jun","Jul","Aug","Sep","Oct","Nov","Dec")</f>
        <v>Jun</v>
      </c>
      <c r="C259" t="s">
        <v>39</v>
      </c>
      <c r="D259" t="s">
        <v>11</v>
      </c>
      <c r="E259">
        <v>327</v>
      </c>
      <c r="F259">
        <v>13734</v>
      </c>
    </row>
    <row r="260" spans="1:6" x14ac:dyDescent="0.35">
      <c r="A260">
        <v>6</v>
      </c>
      <c r="B260" t="str">
        <f>CHOOSE(Table2[[#This Row],[Month]], "Jan","Feb","Mar","Apr","May","Jun","Jul","Aug","Sep","Oct","Nov","Dec")</f>
        <v>Jun</v>
      </c>
      <c r="C260" t="s">
        <v>41</v>
      </c>
      <c r="D260" t="s">
        <v>21</v>
      </c>
      <c r="E260">
        <v>3436</v>
      </c>
      <c r="F260">
        <v>498220</v>
      </c>
    </row>
    <row r="261" spans="1:6" x14ac:dyDescent="0.35">
      <c r="A261">
        <v>6</v>
      </c>
      <c r="B261" t="str">
        <f>CHOOSE(Table2[[#This Row],[Month]], "Jan","Feb","Mar","Apr","May","Jun","Jul","Aug","Sep","Oct","Nov","Dec")</f>
        <v>Jun</v>
      </c>
      <c r="C261" t="s">
        <v>43</v>
      </c>
      <c r="D261" t="s">
        <v>17</v>
      </c>
      <c r="E261">
        <v>1548</v>
      </c>
      <c r="F261">
        <v>185760</v>
      </c>
    </row>
    <row r="262" spans="1:6" x14ac:dyDescent="0.35">
      <c r="A262">
        <v>6</v>
      </c>
      <c r="B262" t="str">
        <f>CHOOSE(Table2[[#This Row],[Month]], "Jan","Feb","Mar","Apr","May","Jun","Jul","Aug","Sep","Oct","Nov","Dec")</f>
        <v>Jun</v>
      </c>
      <c r="C262" t="s">
        <v>45</v>
      </c>
      <c r="D262" t="s">
        <v>17</v>
      </c>
      <c r="E262">
        <v>4501</v>
      </c>
      <c r="F262">
        <v>625639</v>
      </c>
    </row>
    <row r="263" spans="1:6" x14ac:dyDescent="0.35">
      <c r="A263">
        <v>6</v>
      </c>
      <c r="B263" t="str">
        <f>CHOOSE(Table2[[#This Row],[Month]], "Jan","Feb","Mar","Apr","May","Jun","Jul","Aug","Sep","Oct","Nov","Dec")</f>
        <v>Jun</v>
      </c>
      <c r="C263" t="s">
        <v>47</v>
      </c>
      <c r="D263" t="s">
        <v>21</v>
      </c>
      <c r="E263">
        <v>127</v>
      </c>
      <c r="F263">
        <v>8636</v>
      </c>
    </row>
    <row r="264" spans="1:6" x14ac:dyDescent="0.35">
      <c r="A264">
        <v>6</v>
      </c>
      <c r="B264" t="str">
        <f>CHOOSE(Table2[[#This Row],[Month]], "Jan","Feb","Mar","Apr","May","Jun","Jul","Aug","Sep","Oct","Nov","Dec")</f>
        <v>Jun</v>
      </c>
      <c r="C264" t="s">
        <v>49</v>
      </c>
      <c r="D264" t="s">
        <v>21</v>
      </c>
      <c r="E264">
        <v>3715</v>
      </c>
      <c r="F264">
        <v>174605</v>
      </c>
    </row>
    <row r="265" spans="1:6" x14ac:dyDescent="0.35">
      <c r="A265">
        <v>6</v>
      </c>
      <c r="B265" t="str">
        <f>CHOOSE(Table2[[#This Row],[Month]], "Jan","Feb","Mar","Apr","May","Jun","Jul","Aug","Sep","Oct","Nov","Dec")</f>
        <v>Jun</v>
      </c>
      <c r="C265" t="s">
        <v>51</v>
      </c>
      <c r="D265" t="s">
        <v>21</v>
      </c>
      <c r="E265">
        <v>4121</v>
      </c>
      <c r="F265">
        <v>329680</v>
      </c>
    </row>
    <row r="266" spans="1:6" x14ac:dyDescent="0.35">
      <c r="A266">
        <v>6</v>
      </c>
      <c r="B266" t="str">
        <f>CHOOSE(Table2[[#This Row],[Month]], "Jan","Feb","Mar","Apr","May","Jun","Jul","Aug","Sep","Oct","Nov","Dec")</f>
        <v>Jun</v>
      </c>
      <c r="C266" t="s">
        <v>53</v>
      </c>
      <c r="D266" t="s">
        <v>17</v>
      </c>
      <c r="E266">
        <v>3325</v>
      </c>
      <c r="F266">
        <v>309225</v>
      </c>
    </row>
    <row r="267" spans="1:6" x14ac:dyDescent="0.35">
      <c r="A267">
        <v>6</v>
      </c>
      <c r="B267" t="str">
        <f>CHOOSE(Table2[[#This Row],[Month]], "Jan","Feb","Mar","Apr","May","Jun","Jul","Aug","Sep","Oct","Nov","Dec")</f>
        <v>Jun</v>
      </c>
      <c r="C267" t="s">
        <v>55</v>
      </c>
      <c r="D267" t="s">
        <v>31</v>
      </c>
      <c r="E267">
        <v>1946</v>
      </c>
      <c r="F267">
        <v>180978</v>
      </c>
    </row>
    <row r="268" spans="1:6" x14ac:dyDescent="0.35">
      <c r="A268">
        <v>6</v>
      </c>
      <c r="B268" t="str">
        <f>CHOOSE(Table2[[#This Row],[Month]], "Jan","Feb","Mar","Apr","May","Jun","Jul","Aug","Sep","Oct","Nov","Dec")</f>
        <v>Jun</v>
      </c>
      <c r="C268" t="s">
        <v>57</v>
      </c>
      <c r="D268" t="s">
        <v>11</v>
      </c>
      <c r="E268">
        <v>1279</v>
      </c>
      <c r="F268">
        <v>162433</v>
      </c>
    </row>
    <row r="269" spans="1:6" x14ac:dyDescent="0.35">
      <c r="A269">
        <v>6</v>
      </c>
      <c r="B269" t="str">
        <f>CHOOSE(Table2[[#This Row],[Month]], "Jan","Feb","Mar","Apr","May","Jun","Jul","Aug","Sep","Oct","Nov","Dec")</f>
        <v>Jun</v>
      </c>
      <c r="C269" t="s">
        <v>59</v>
      </c>
      <c r="D269" t="s">
        <v>11</v>
      </c>
      <c r="E269">
        <v>1800</v>
      </c>
      <c r="F269">
        <v>228600</v>
      </c>
    </row>
    <row r="270" spans="1:6" x14ac:dyDescent="0.35">
      <c r="A270">
        <v>6</v>
      </c>
      <c r="B270" t="str">
        <f>CHOOSE(Table2[[#This Row],[Month]], "Jan","Feb","Mar","Apr","May","Jun","Jul","Aug","Sep","Oct","Nov","Dec")</f>
        <v>Jun</v>
      </c>
      <c r="C270" t="s">
        <v>61</v>
      </c>
      <c r="D270" t="s">
        <v>11</v>
      </c>
      <c r="E270">
        <v>1015</v>
      </c>
      <c r="F270">
        <v>123830</v>
      </c>
    </row>
    <row r="271" spans="1:6" x14ac:dyDescent="0.35">
      <c r="A271">
        <v>6</v>
      </c>
      <c r="B271" t="str">
        <f>CHOOSE(Table2[[#This Row],[Month]], "Jan","Feb","Mar","Apr","May","Jun","Jul","Aug","Sep","Oct","Nov","Dec")</f>
        <v>Jun</v>
      </c>
      <c r="C271" t="s">
        <v>63</v>
      </c>
      <c r="D271" t="s">
        <v>11</v>
      </c>
      <c r="E271">
        <v>874</v>
      </c>
      <c r="F271">
        <v>35834</v>
      </c>
    </row>
    <row r="272" spans="1:6" x14ac:dyDescent="0.35">
      <c r="A272">
        <v>6</v>
      </c>
      <c r="B272" t="str">
        <f>CHOOSE(Table2[[#This Row],[Month]], "Jan","Feb","Mar","Apr","May","Jun","Jul","Aug","Sep","Oct","Nov","Dec")</f>
        <v>Jun</v>
      </c>
      <c r="C272" t="s">
        <v>65</v>
      </c>
      <c r="D272" t="s">
        <v>31</v>
      </c>
      <c r="E272">
        <v>2708</v>
      </c>
      <c r="F272">
        <v>138108</v>
      </c>
    </row>
    <row r="273" spans="1:6" x14ac:dyDescent="0.35">
      <c r="A273">
        <v>6</v>
      </c>
      <c r="B273" t="str">
        <f>CHOOSE(Table2[[#This Row],[Month]], "Jan","Feb","Mar","Apr","May","Jun","Jul","Aug","Sep","Oct","Nov","Dec")</f>
        <v>Jun</v>
      </c>
      <c r="C273" t="s">
        <v>67</v>
      </c>
      <c r="D273" t="s">
        <v>21</v>
      </c>
      <c r="E273">
        <v>1909</v>
      </c>
      <c r="F273">
        <v>145084</v>
      </c>
    </row>
    <row r="274" spans="1:6" x14ac:dyDescent="0.35">
      <c r="A274">
        <v>6</v>
      </c>
      <c r="B274" t="str">
        <f>CHOOSE(Table2[[#This Row],[Month]], "Jan","Feb","Mar","Apr","May","Jun","Jul","Aug","Sep","Oct","Nov","Dec")</f>
        <v>Jun</v>
      </c>
      <c r="C274" t="s">
        <v>69</v>
      </c>
      <c r="D274" t="s">
        <v>11</v>
      </c>
      <c r="E274">
        <v>1567</v>
      </c>
      <c r="F274">
        <v>137896</v>
      </c>
    </row>
    <row r="275" spans="1:6" x14ac:dyDescent="0.35">
      <c r="A275">
        <v>6</v>
      </c>
      <c r="B275" t="str">
        <f>CHOOSE(Table2[[#This Row],[Month]], "Jan","Feb","Mar","Apr","May","Jun","Jul","Aug","Sep","Oct","Nov","Dec")</f>
        <v>Jun</v>
      </c>
      <c r="C275" t="s">
        <v>71</v>
      </c>
      <c r="D275" t="s">
        <v>31</v>
      </c>
      <c r="E275">
        <v>173</v>
      </c>
      <c r="F275">
        <v>13494</v>
      </c>
    </row>
    <row r="276" spans="1:6" x14ac:dyDescent="0.35">
      <c r="A276">
        <v>6</v>
      </c>
      <c r="B276" t="str">
        <f>CHOOSE(Table2[[#This Row],[Month]], "Jan","Feb","Mar","Apr","May","Jun","Jul","Aug","Sep","Oct","Nov","Dec")</f>
        <v>Jun</v>
      </c>
      <c r="C276" t="s">
        <v>73</v>
      </c>
      <c r="D276" t="s">
        <v>11</v>
      </c>
      <c r="E276">
        <v>2073</v>
      </c>
      <c r="F276">
        <v>72555</v>
      </c>
    </row>
    <row r="277" spans="1:6" x14ac:dyDescent="0.35">
      <c r="A277">
        <v>6</v>
      </c>
      <c r="B277" t="str">
        <f>CHOOSE(Table2[[#This Row],[Month]], "Jan","Feb","Mar","Apr","May","Jun","Jul","Aug","Sep","Oct","Nov","Dec")</f>
        <v>Jun</v>
      </c>
      <c r="C277" t="s">
        <v>75</v>
      </c>
      <c r="D277" t="s">
        <v>11</v>
      </c>
      <c r="E277">
        <v>764</v>
      </c>
      <c r="F277">
        <v>112308</v>
      </c>
    </row>
    <row r="278" spans="1:6" x14ac:dyDescent="0.35">
      <c r="A278">
        <v>6</v>
      </c>
      <c r="B278" t="str">
        <f>CHOOSE(Table2[[#This Row],[Month]], "Jan","Feb","Mar","Apr","May","Jun","Jul","Aug","Sep","Oct","Nov","Dec")</f>
        <v>Jun</v>
      </c>
      <c r="C278" t="s">
        <v>77</v>
      </c>
      <c r="D278" t="s">
        <v>21</v>
      </c>
      <c r="E278">
        <v>4942</v>
      </c>
      <c r="F278">
        <v>563388</v>
      </c>
    </row>
    <row r="279" spans="1:6" x14ac:dyDescent="0.35">
      <c r="A279">
        <v>6</v>
      </c>
      <c r="B279" t="str">
        <f>CHOOSE(Table2[[#This Row],[Month]], "Jan","Feb","Mar","Apr","May","Jun","Jul","Aug","Sep","Oct","Nov","Dec")</f>
        <v>Jun</v>
      </c>
      <c r="C279" t="s">
        <v>79</v>
      </c>
      <c r="D279" t="s">
        <v>11</v>
      </c>
      <c r="E279">
        <v>4155</v>
      </c>
      <c r="F279">
        <v>452895</v>
      </c>
    </row>
    <row r="280" spans="1:6" x14ac:dyDescent="0.35">
      <c r="A280">
        <v>6</v>
      </c>
      <c r="B280" t="str">
        <f>CHOOSE(Table2[[#This Row],[Month]], "Jan","Feb","Mar","Apr","May","Jun","Jul","Aug","Sep","Oct","Nov","Dec")</f>
        <v>Jun</v>
      </c>
      <c r="C280" t="s">
        <v>81</v>
      </c>
      <c r="D280" t="s">
        <v>31</v>
      </c>
      <c r="E280">
        <v>2173</v>
      </c>
      <c r="F280">
        <v>149937</v>
      </c>
    </row>
    <row r="281" spans="1:6" x14ac:dyDescent="0.35">
      <c r="A281">
        <v>6</v>
      </c>
      <c r="B281" t="str">
        <f>CHOOSE(Table2[[#This Row],[Month]], "Jan","Feb","Mar","Apr","May","Jun","Jul","Aug","Sep","Oct","Nov","Dec")</f>
        <v>Jun</v>
      </c>
      <c r="C281" t="s">
        <v>83</v>
      </c>
      <c r="D281" t="s">
        <v>17</v>
      </c>
      <c r="E281">
        <v>1380</v>
      </c>
      <c r="F281">
        <v>73140</v>
      </c>
    </row>
    <row r="282" spans="1:6" x14ac:dyDescent="0.35">
      <c r="A282">
        <v>6</v>
      </c>
      <c r="B282" t="str">
        <f>CHOOSE(Table2[[#This Row],[Month]], "Jan","Feb","Mar","Apr","May","Jun","Jul","Aug","Sep","Oct","Nov","Dec")</f>
        <v>Jun</v>
      </c>
      <c r="C282" t="s">
        <v>85</v>
      </c>
      <c r="D282" t="s">
        <v>11</v>
      </c>
      <c r="E282">
        <v>1716</v>
      </c>
      <c r="F282">
        <v>60060</v>
      </c>
    </row>
    <row r="283" spans="1:6" x14ac:dyDescent="0.35">
      <c r="A283">
        <v>6</v>
      </c>
      <c r="B283" t="str">
        <f>CHOOSE(Table2[[#This Row],[Month]], "Jan","Feb","Mar","Apr","May","Jun","Jul","Aug","Sep","Oct","Nov","Dec")</f>
        <v>Jun</v>
      </c>
      <c r="C283" t="s">
        <v>87</v>
      </c>
      <c r="D283" t="s">
        <v>11</v>
      </c>
      <c r="E283">
        <v>4729</v>
      </c>
      <c r="F283">
        <v>416152</v>
      </c>
    </row>
    <row r="284" spans="1:6" x14ac:dyDescent="0.35">
      <c r="A284">
        <v>6</v>
      </c>
      <c r="B284" t="str">
        <f>CHOOSE(Table2[[#This Row],[Month]], "Jan","Feb","Mar","Apr","May","Jun","Jul","Aug","Sep","Oct","Nov","Dec")</f>
        <v>Jun</v>
      </c>
      <c r="C284" t="s">
        <v>89</v>
      </c>
      <c r="D284" t="s">
        <v>17</v>
      </c>
      <c r="E284">
        <v>137</v>
      </c>
      <c r="F284">
        <v>17947</v>
      </c>
    </row>
    <row r="285" spans="1:6" x14ac:dyDescent="0.35">
      <c r="A285">
        <v>6</v>
      </c>
      <c r="B285" t="str">
        <f>CHOOSE(Table2[[#This Row],[Month]], "Jan","Feb","Mar","Apr","May","Jun","Jul","Aug","Sep","Oct","Nov","Dec")</f>
        <v>Jun</v>
      </c>
      <c r="C285" t="s">
        <v>91</v>
      </c>
      <c r="D285" t="s">
        <v>11</v>
      </c>
      <c r="E285">
        <v>414</v>
      </c>
      <c r="F285">
        <v>14490</v>
      </c>
    </row>
    <row r="286" spans="1:6" x14ac:dyDescent="0.35">
      <c r="A286">
        <v>6</v>
      </c>
      <c r="B286" t="str">
        <f>CHOOSE(Table2[[#This Row],[Month]], "Jan","Feb","Mar","Apr","May","Jun","Jul","Aug","Sep","Oct","Nov","Dec")</f>
        <v>Jun</v>
      </c>
      <c r="C286" t="s">
        <v>93</v>
      </c>
      <c r="D286" t="s">
        <v>17</v>
      </c>
      <c r="E286">
        <v>2598</v>
      </c>
      <c r="F286">
        <v>145488</v>
      </c>
    </row>
    <row r="287" spans="1:6" x14ac:dyDescent="0.35">
      <c r="A287">
        <v>6</v>
      </c>
      <c r="B287" t="str">
        <f>CHOOSE(Table2[[#This Row],[Month]], "Jan","Feb","Mar","Apr","May","Jun","Jul","Aug","Sep","Oct","Nov","Dec")</f>
        <v>Jun</v>
      </c>
      <c r="C287" t="s">
        <v>95</v>
      </c>
      <c r="D287" t="s">
        <v>31</v>
      </c>
      <c r="E287">
        <v>3177</v>
      </c>
      <c r="F287">
        <v>155673</v>
      </c>
    </row>
    <row r="288" spans="1:6" x14ac:dyDescent="0.35">
      <c r="A288">
        <v>6</v>
      </c>
      <c r="B288" t="str">
        <f>CHOOSE(Table2[[#This Row],[Month]], "Jan","Feb","Mar","Apr","May","Jun","Jul","Aug","Sep","Oct","Nov","Dec")</f>
        <v>Jun</v>
      </c>
      <c r="C288" t="s">
        <v>97</v>
      </c>
      <c r="D288" t="s">
        <v>31</v>
      </c>
      <c r="E288">
        <v>3562</v>
      </c>
      <c r="F288">
        <v>477308</v>
      </c>
    </row>
    <row r="289" spans="1:6" x14ac:dyDescent="0.35">
      <c r="A289">
        <v>6</v>
      </c>
      <c r="B289" t="str">
        <f>CHOOSE(Table2[[#This Row],[Month]], "Jan","Feb","Mar","Apr","May","Jun","Jul","Aug","Sep","Oct","Nov","Dec")</f>
        <v>Jun</v>
      </c>
      <c r="C289" t="s">
        <v>99</v>
      </c>
      <c r="D289" t="s">
        <v>11</v>
      </c>
      <c r="E289">
        <v>2651</v>
      </c>
      <c r="F289">
        <v>273053</v>
      </c>
    </row>
    <row r="290" spans="1:6" x14ac:dyDescent="0.35">
      <c r="A290">
        <v>6</v>
      </c>
      <c r="B290" t="str">
        <f>CHOOSE(Table2[[#This Row],[Month]], "Jan","Feb","Mar","Apr","May","Jun","Jul","Aug","Sep","Oct","Nov","Dec")</f>
        <v>Jun</v>
      </c>
      <c r="C290" t="s">
        <v>101</v>
      </c>
      <c r="D290" t="s">
        <v>21</v>
      </c>
      <c r="E290">
        <v>3341</v>
      </c>
      <c r="F290">
        <v>417625</v>
      </c>
    </row>
    <row r="291" spans="1:6" x14ac:dyDescent="0.35">
      <c r="A291">
        <v>6</v>
      </c>
      <c r="B291" t="str">
        <f>CHOOSE(Table2[[#This Row],[Month]], "Jan","Feb","Mar","Apr","May","Jun","Jul","Aug","Sep","Oct","Nov","Dec")</f>
        <v>Jun</v>
      </c>
      <c r="C291" t="s">
        <v>103</v>
      </c>
      <c r="D291" t="s">
        <v>21</v>
      </c>
      <c r="E291">
        <v>856</v>
      </c>
      <c r="F291">
        <v>17976</v>
      </c>
    </row>
    <row r="292" spans="1:6" x14ac:dyDescent="0.35">
      <c r="A292">
        <v>6</v>
      </c>
      <c r="B292" t="str">
        <f>CHOOSE(Table2[[#This Row],[Month]], "Jan","Feb","Mar","Apr","May","Jun","Jul","Aug","Sep","Oct","Nov","Dec")</f>
        <v>Jun</v>
      </c>
      <c r="C292" t="s">
        <v>105</v>
      </c>
      <c r="D292" t="s">
        <v>21</v>
      </c>
      <c r="E292">
        <v>810</v>
      </c>
      <c r="F292">
        <v>53460</v>
      </c>
    </row>
    <row r="293" spans="1:6" x14ac:dyDescent="0.35">
      <c r="A293">
        <v>6</v>
      </c>
      <c r="B293" t="str">
        <f>CHOOSE(Table2[[#This Row],[Month]], "Jan","Feb","Mar","Apr","May","Jun","Jul","Aug","Sep","Oct","Nov","Dec")</f>
        <v>Jun</v>
      </c>
      <c r="C293" t="s">
        <v>107</v>
      </c>
      <c r="D293" t="s">
        <v>17</v>
      </c>
      <c r="E293">
        <v>2945</v>
      </c>
      <c r="F293">
        <v>138415</v>
      </c>
    </row>
    <row r="294" spans="1:6" x14ac:dyDescent="0.35">
      <c r="A294">
        <v>6</v>
      </c>
      <c r="B294" t="str">
        <f>CHOOSE(Table2[[#This Row],[Month]], "Jan","Feb","Mar","Apr","May","Jun","Jul","Aug","Sep","Oct","Nov","Dec")</f>
        <v>Jun</v>
      </c>
      <c r="C294" t="s">
        <v>109</v>
      </c>
      <c r="D294" t="s">
        <v>31</v>
      </c>
      <c r="E294">
        <v>171</v>
      </c>
      <c r="F294">
        <v>8892</v>
      </c>
    </row>
    <row r="295" spans="1:6" x14ac:dyDescent="0.35">
      <c r="A295">
        <v>6</v>
      </c>
      <c r="B295" t="str">
        <f>CHOOSE(Table2[[#This Row],[Month]], "Jan","Feb","Mar","Apr","May","Jun","Jul","Aug","Sep","Oct","Nov","Dec")</f>
        <v>Jun</v>
      </c>
      <c r="C295" t="s">
        <v>111</v>
      </c>
      <c r="D295" t="s">
        <v>17</v>
      </c>
      <c r="E295">
        <v>3229</v>
      </c>
      <c r="F295">
        <v>167908</v>
      </c>
    </row>
    <row r="296" spans="1:6" x14ac:dyDescent="0.35">
      <c r="A296">
        <v>6</v>
      </c>
      <c r="B296" t="str">
        <f>CHOOSE(Table2[[#This Row],[Month]], "Jan","Feb","Mar","Apr","May","Jun","Jul","Aug","Sep","Oct","Nov","Dec")</f>
        <v>Jun</v>
      </c>
      <c r="C296" t="s">
        <v>113</v>
      </c>
      <c r="D296" t="s">
        <v>11</v>
      </c>
      <c r="E296">
        <v>3567</v>
      </c>
      <c r="F296">
        <v>128412</v>
      </c>
    </row>
    <row r="297" spans="1:6" x14ac:dyDescent="0.35">
      <c r="A297">
        <v>6</v>
      </c>
      <c r="B297" t="str">
        <f>CHOOSE(Table2[[#This Row],[Month]], "Jan","Feb","Mar","Apr","May","Jun","Jul","Aug","Sep","Oct","Nov","Dec")</f>
        <v>Jun</v>
      </c>
      <c r="C297" t="s">
        <v>115</v>
      </c>
      <c r="D297" t="s">
        <v>11</v>
      </c>
      <c r="E297">
        <v>3535</v>
      </c>
      <c r="F297">
        <v>406525</v>
      </c>
    </row>
    <row r="298" spans="1:6" x14ac:dyDescent="0.35">
      <c r="A298">
        <v>6</v>
      </c>
      <c r="B298" t="str">
        <f>CHOOSE(Table2[[#This Row],[Month]], "Jan","Feb","Mar","Apr","May","Jun","Jul","Aug","Sep","Oct","Nov","Dec")</f>
        <v>Jun</v>
      </c>
      <c r="C298" t="s">
        <v>117</v>
      </c>
      <c r="D298" t="s">
        <v>21</v>
      </c>
      <c r="E298">
        <v>4192</v>
      </c>
      <c r="F298">
        <v>318592</v>
      </c>
    </row>
    <row r="299" spans="1:6" x14ac:dyDescent="0.35">
      <c r="A299">
        <v>6</v>
      </c>
      <c r="B299" t="str">
        <f>CHOOSE(Table2[[#This Row],[Month]], "Jan","Feb","Mar","Apr","May","Jun","Jul","Aug","Sep","Oct","Nov","Dec")</f>
        <v>Jun</v>
      </c>
      <c r="C299" t="s">
        <v>119</v>
      </c>
      <c r="D299" t="s">
        <v>31</v>
      </c>
      <c r="E299">
        <v>4120</v>
      </c>
      <c r="F299">
        <v>177160</v>
      </c>
    </row>
    <row r="300" spans="1:6" x14ac:dyDescent="0.35">
      <c r="A300">
        <v>6</v>
      </c>
      <c r="B300" t="str">
        <f>CHOOSE(Table2[[#This Row],[Month]], "Jan","Feb","Mar","Apr","May","Jun","Jul","Aug","Sep","Oct","Nov","Dec")</f>
        <v>Jun</v>
      </c>
      <c r="C300" t="s">
        <v>121</v>
      </c>
      <c r="D300" t="s">
        <v>11</v>
      </c>
      <c r="E300">
        <v>4363</v>
      </c>
      <c r="F300">
        <v>593368</v>
      </c>
    </row>
    <row r="301" spans="1:6" x14ac:dyDescent="0.35">
      <c r="A301">
        <v>6</v>
      </c>
      <c r="B301" t="str">
        <f>CHOOSE(Table2[[#This Row],[Month]], "Jan","Feb","Mar","Apr","May","Jun","Jul","Aug","Sep","Oct","Nov","Dec")</f>
        <v>Jun</v>
      </c>
      <c r="C301" t="s">
        <v>123</v>
      </c>
      <c r="D301" t="s">
        <v>31</v>
      </c>
      <c r="E301">
        <v>2920</v>
      </c>
      <c r="F301">
        <v>271560</v>
      </c>
    </row>
    <row r="302" spans="1:6" x14ac:dyDescent="0.35">
      <c r="A302">
        <v>7</v>
      </c>
      <c r="B302" t="str">
        <f>CHOOSE(Table2[[#This Row],[Month]], "Jan","Feb","Mar","Apr","May","Jun","Jul","Aug","Sep","Oct","Nov","Dec")</f>
        <v>Jul</v>
      </c>
      <c r="C302" t="s">
        <v>8</v>
      </c>
      <c r="D302" t="s">
        <v>11</v>
      </c>
      <c r="E302">
        <v>3821</v>
      </c>
      <c r="F302">
        <v>259828</v>
      </c>
    </row>
    <row r="303" spans="1:6" x14ac:dyDescent="0.35">
      <c r="A303">
        <v>7</v>
      </c>
      <c r="B303" t="str">
        <f>CHOOSE(Table2[[#This Row],[Month]], "Jan","Feb","Mar","Apr","May","Jun","Jul","Aug","Sep","Oct","Nov","Dec")</f>
        <v>Jul</v>
      </c>
      <c r="C303" t="s">
        <v>15</v>
      </c>
      <c r="D303" t="s">
        <v>21</v>
      </c>
      <c r="E303">
        <v>2540</v>
      </c>
      <c r="F303">
        <v>213360</v>
      </c>
    </row>
    <row r="304" spans="1:6" x14ac:dyDescent="0.35">
      <c r="A304">
        <v>7</v>
      </c>
      <c r="B304" t="str">
        <f>CHOOSE(Table2[[#This Row],[Month]], "Jan","Feb","Mar","Apr","May","Jun","Jul","Aug","Sep","Oct","Nov","Dec")</f>
        <v>Jul</v>
      </c>
      <c r="C304" t="s">
        <v>19</v>
      </c>
      <c r="D304" t="s">
        <v>21</v>
      </c>
      <c r="E304">
        <v>2605</v>
      </c>
      <c r="F304">
        <v>302180</v>
      </c>
    </row>
    <row r="305" spans="1:6" x14ac:dyDescent="0.35">
      <c r="A305">
        <v>7</v>
      </c>
      <c r="B305" t="str">
        <f>CHOOSE(Table2[[#This Row],[Month]], "Jan","Feb","Mar","Apr","May","Jun","Jul","Aug","Sep","Oct","Nov","Dec")</f>
        <v>Jul</v>
      </c>
      <c r="C305" t="s">
        <v>24</v>
      </c>
      <c r="D305" t="s">
        <v>17</v>
      </c>
      <c r="E305">
        <v>1166</v>
      </c>
      <c r="F305">
        <v>174900</v>
      </c>
    </row>
    <row r="306" spans="1:6" x14ac:dyDescent="0.35">
      <c r="A306">
        <v>7</v>
      </c>
      <c r="B306" t="str">
        <f>CHOOSE(Table2[[#This Row],[Month]], "Jan","Feb","Mar","Apr","May","Jun","Jul","Aug","Sep","Oct","Nov","Dec")</f>
        <v>Jul</v>
      </c>
      <c r="C306" t="s">
        <v>28</v>
      </c>
      <c r="D306" t="s">
        <v>11</v>
      </c>
      <c r="E306">
        <v>2072</v>
      </c>
      <c r="F306">
        <v>126392</v>
      </c>
    </row>
    <row r="307" spans="1:6" x14ac:dyDescent="0.35">
      <c r="A307">
        <v>7</v>
      </c>
      <c r="B307" t="str">
        <f>CHOOSE(Table2[[#This Row],[Month]], "Jan","Feb","Mar","Apr","May","Jun","Jul","Aug","Sep","Oct","Nov","Dec")</f>
        <v>Jul</v>
      </c>
      <c r="C307" t="s">
        <v>33</v>
      </c>
      <c r="D307" t="s">
        <v>31</v>
      </c>
      <c r="E307">
        <v>1426</v>
      </c>
      <c r="F307">
        <v>169694</v>
      </c>
    </row>
    <row r="308" spans="1:6" x14ac:dyDescent="0.35">
      <c r="A308">
        <v>7</v>
      </c>
      <c r="B308" t="str">
        <f>CHOOSE(Table2[[#This Row],[Month]], "Jan","Feb","Mar","Apr","May","Jun","Jul","Aug","Sep","Oct","Nov","Dec")</f>
        <v>Jul</v>
      </c>
      <c r="C308" t="s">
        <v>36</v>
      </c>
      <c r="D308" t="s">
        <v>21</v>
      </c>
      <c r="E308">
        <v>1425</v>
      </c>
      <c r="F308">
        <v>108300</v>
      </c>
    </row>
    <row r="309" spans="1:6" x14ac:dyDescent="0.35">
      <c r="A309">
        <v>7</v>
      </c>
      <c r="B309" t="str">
        <f>CHOOSE(Table2[[#This Row],[Month]], "Jan","Feb","Mar","Apr","May","Jun","Jul","Aug","Sep","Oct","Nov","Dec")</f>
        <v>Jul</v>
      </c>
      <c r="C309" t="s">
        <v>39</v>
      </c>
      <c r="D309" t="s">
        <v>11</v>
      </c>
      <c r="E309">
        <v>2392</v>
      </c>
      <c r="F309">
        <v>184184</v>
      </c>
    </row>
    <row r="310" spans="1:6" x14ac:dyDescent="0.35">
      <c r="A310">
        <v>7</v>
      </c>
      <c r="B310" t="str">
        <f>CHOOSE(Table2[[#This Row],[Month]], "Jan","Feb","Mar","Apr","May","Jun","Jul","Aug","Sep","Oct","Nov","Dec")</f>
        <v>Jul</v>
      </c>
      <c r="C310" t="s">
        <v>41</v>
      </c>
      <c r="D310" t="s">
        <v>11</v>
      </c>
      <c r="E310">
        <v>2159</v>
      </c>
      <c r="F310">
        <v>274193</v>
      </c>
    </row>
    <row r="311" spans="1:6" x14ac:dyDescent="0.35">
      <c r="A311">
        <v>7</v>
      </c>
      <c r="B311" t="str">
        <f>CHOOSE(Table2[[#This Row],[Month]], "Jan","Feb","Mar","Apr","May","Jun","Jul","Aug","Sep","Oct","Nov","Dec")</f>
        <v>Jul</v>
      </c>
      <c r="C311" t="s">
        <v>43</v>
      </c>
      <c r="D311" t="s">
        <v>17</v>
      </c>
      <c r="E311">
        <v>2594</v>
      </c>
      <c r="F311">
        <v>186768</v>
      </c>
    </row>
    <row r="312" spans="1:6" x14ac:dyDescent="0.35">
      <c r="A312">
        <v>7</v>
      </c>
      <c r="B312" t="str">
        <f>CHOOSE(Table2[[#This Row],[Month]], "Jan","Feb","Mar","Apr","May","Jun","Jul","Aug","Sep","Oct","Nov","Dec")</f>
        <v>Jul</v>
      </c>
      <c r="C312" t="s">
        <v>45</v>
      </c>
      <c r="D312" t="s">
        <v>21</v>
      </c>
      <c r="E312">
        <v>4661</v>
      </c>
      <c r="F312">
        <v>643218</v>
      </c>
    </row>
    <row r="313" spans="1:6" x14ac:dyDescent="0.35">
      <c r="A313">
        <v>7</v>
      </c>
      <c r="B313" t="str">
        <f>CHOOSE(Table2[[#This Row],[Month]], "Jan","Feb","Mar","Apr","May","Jun","Jul","Aug","Sep","Oct","Nov","Dec")</f>
        <v>Jul</v>
      </c>
      <c r="C313" t="s">
        <v>47</v>
      </c>
      <c r="D313" t="s">
        <v>17</v>
      </c>
      <c r="E313">
        <v>1476</v>
      </c>
      <c r="F313">
        <v>146124</v>
      </c>
    </row>
    <row r="314" spans="1:6" x14ac:dyDescent="0.35">
      <c r="A314">
        <v>7</v>
      </c>
      <c r="B314" t="str">
        <f>CHOOSE(Table2[[#This Row],[Month]], "Jan","Feb","Mar","Apr","May","Jun","Jul","Aug","Sep","Oct","Nov","Dec")</f>
        <v>Jul</v>
      </c>
      <c r="C314" t="s">
        <v>49</v>
      </c>
      <c r="D314" t="s">
        <v>21</v>
      </c>
      <c r="E314">
        <v>3040</v>
      </c>
      <c r="F314">
        <v>197600</v>
      </c>
    </row>
    <row r="315" spans="1:6" x14ac:dyDescent="0.35">
      <c r="A315">
        <v>7</v>
      </c>
      <c r="B315" t="str">
        <f>CHOOSE(Table2[[#This Row],[Month]], "Jan","Feb","Mar","Apr","May","Jun","Jul","Aug","Sep","Oct","Nov","Dec")</f>
        <v>Jul</v>
      </c>
      <c r="C315" t="s">
        <v>51</v>
      </c>
      <c r="D315" t="s">
        <v>17</v>
      </c>
      <c r="E315">
        <v>627</v>
      </c>
      <c r="F315">
        <v>15675</v>
      </c>
    </row>
    <row r="316" spans="1:6" x14ac:dyDescent="0.35">
      <c r="A316">
        <v>7</v>
      </c>
      <c r="B316" t="str">
        <f>CHOOSE(Table2[[#This Row],[Month]], "Jan","Feb","Mar","Apr","May","Jun","Jul","Aug","Sep","Oct","Nov","Dec")</f>
        <v>Jul</v>
      </c>
      <c r="C316" t="s">
        <v>53</v>
      </c>
      <c r="D316" t="s">
        <v>21</v>
      </c>
      <c r="E316">
        <v>3578</v>
      </c>
      <c r="F316">
        <v>440094</v>
      </c>
    </row>
    <row r="317" spans="1:6" x14ac:dyDescent="0.35">
      <c r="A317">
        <v>7</v>
      </c>
      <c r="B317" t="str">
        <f>CHOOSE(Table2[[#This Row],[Month]], "Jan","Feb","Mar","Apr","May","Jun","Jul","Aug","Sep","Oct","Nov","Dec")</f>
        <v>Jul</v>
      </c>
      <c r="C317" t="s">
        <v>55</v>
      </c>
      <c r="D317" t="s">
        <v>31</v>
      </c>
      <c r="E317">
        <v>1209</v>
      </c>
      <c r="F317">
        <v>118482</v>
      </c>
    </row>
    <row r="318" spans="1:6" x14ac:dyDescent="0.35">
      <c r="A318">
        <v>7</v>
      </c>
      <c r="B318" t="str">
        <f>CHOOSE(Table2[[#This Row],[Month]], "Jan","Feb","Mar","Apr","May","Jun","Jul","Aug","Sep","Oct","Nov","Dec")</f>
        <v>Jul</v>
      </c>
      <c r="C318" t="s">
        <v>57</v>
      </c>
      <c r="D318" t="s">
        <v>21</v>
      </c>
      <c r="E318">
        <v>1595</v>
      </c>
      <c r="F318">
        <v>172260</v>
      </c>
    </row>
    <row r="319" spans="1:6" x14ac:dyDescent="0.35">
      <c r="A319">
        <v>7</v>
      </c>
      <c r="B319" t="str">
        <f>CHOOSE(Table2[[#This Row],[Month]], "Jan","Feb","Mar","Apr","May","Jun","Jul","Aug","Sep","Oct","Nov","Dec")</f>
        <v>Jul</v>
      </c>
      <c r="C319" t="s">
        <v>59</v>
      </c>
      <c r="D319" t="s">
        <v>21</v>
      </c>
      <c r="E319">
        <v>4891</v>
      </c>
      <c r="F319">
        <v>640721</v>
      </c>
    </row>
    <row r="320" spans="1:6" x14ac:dyDescent="0.35">
      <c r="A320">
        <v>7</v>
      </c>
      <c r="B320" t="str">
        <f>CHOOSE(Table2[[#This Row],[Month]], "Jan","Feb","Mar","Apr","May","Jun","Jul","Aug","Sep","Oct","Nov","Dec")</f>
        <v>Jul</v>
      </c>
      <c r="C320" t="s">
        <v>61</v>
      </c>
      <c r="D320" t="s">
        <v>21</v>
      </c>
      <c r="E320">
        <v>3000</v>
      </c>
      <c r="F320">
        <v>123000</v>
      </c>
    </row>
    <row r="321" spans="1:6" x14ac:dyDescent="0.35">
      <c r="A321">
        <v>7</v>
      </c>
      <c r="B321" t="str">
        <f>CHOOSE(Table2[[#This Row],[Month]], "Jan","Feb","Mar","Apr","May","Jun","Jul","Aug","Sep","Oct","Nov","Dec")</f>
        <v>Jul</v>
      </c>
      <c r="C321" t="s">
        <v>63</v>
      </c>
      <c r="D321" t="s">
        <v>21</v>
      </c>
      <c r="E321">
        <v>350</v>
      </c>
      <c r="F321">
        <v>37100</v>
      </c>
    </row>
    <row r="322" spans="1:6" x14ac:dyDescent="0.35">
      <c r="A322">
        <v>7</v>
      </c>
      <c r="B322" t="str">
        <f>CHOOSE(Table2[[#This Row],[Month]], "Jan","Feb","Mar","Apr","May","Jun","Jul","Aug","Sep","Oct","Nov","Dec")</f>
        <v>Jul</v>
      </c>
      <c r="C322" t="s">
        <v>65</v>
      </c>
      <c r="D322" t="s">
        <v>31</v>
      </c>
      <c r="E322">
        <v>1343</v>
      </c>
      <c r="F322">
        <v>87295</v>
      </c>
    </row>
    <row r="323" spans="1:6" x14ac:dyDescent="0.35">
      <c r="A323">
        <v>7</v>
      </c>
      <c r="B323" t="str">
        <f>CHOOSE(Table2[[#This Row],[Month]], "Jan","Feb","Mar","Apr","May","Jun","Jul","Aug","Sep","Oct","Nov","Dec")</f>
        <v>Jul</v>
      </c>
      <c r="C323" t="s">
        <v>67</v>
      </c>
      <c r="D323" t="s">
        <v>21</v>
      </c>
      <c r="E323">
        <v>2693</v>
      </c>
      <c r="F323">
        <v>204668</v>
      </c>
    </row>
    <row r="324" spans="1:6" x14ac:dyDescent="0.35">
      <c r="A324">
        <v>7</v>
      </c>
      <c r="B324" t="str">
        <f>CHOOSE(Table2[[#This Row],[Month]], "Jan","Feb","Mar","Apr","May","Jun","Jul","Aug","Sep","Oct","Nov","Dec")</f>
        <v>Jul</v>
      </c>
      <c r="C324" t="s">
        <v>69</v>
      </c>
      <c r="D324" t="s">
        <v>11</v>
      </c>
      <c r="E324">
        <v>2625</v>
      </c>
      <c r="F324">
        <v>246750</v>
      </c>
    </row>
    <row r="325" spans="1:6" x14ac:dyDescent="0.35">
      <c r="A325">
        <v>7</v>
      </c>
      <c r="B325" t="str">
        <f>CHOOSE(Table2[[#This Row],[Month]], "Jan","Feb","Mar","Apr","May","Jun","Jul","Aug","Sep","Oct","Nov","Dec")</f>
        <v>Jul</v>
      </c>
      <c r="C325" t="s">
        <v>71</v>
      </c>
      <c r="D325" t="s">
        <v>21</v>
      </c>
      <c r="E325">
        <v>1690</v>
      </c>
      <c r="F325">
        <v>143650</v>
      </c>
    </row>
    <row r="326" spans="1:6" x14ac:dyDescent="0.35">
      <c r="A326">
        <v>7</v>
      </c>
      <c r="B326" t="str">
        <f>CHOOSE(Table2[[#This Row],[Month]], "Jan","Feb","Mar","Apr","May","Jun","Jul","Aug","Sep","Oct","Nov","Dec")</f>
        <v>Jul</v>
      </c>
      <c r="C326" t="s">
        <v>73</v>
      </c>
      <c r="D326" t="s">
        <v>11</v>
      </c>
      <c r="E326">
        <v>1121</v>
      </c>
      <c r="F326">
        <v>79591</v>
      </c>
    </row>
    <row r="327" spans="1:6" x14ac:dyDescent="0.35">
      <c r="A327">
        <v>7</v>
      </c>
      <c r="B327" t="str">
        <f>CHOOSE(Table2[[#This Row],[Month]], "Jan","Feb","Mar","Apr","May","Jun","Jul","Aug","Sep","Oct","Nov","Dec")</f>
        <v>Jul</v>
      </c>
      <c r="C327" t="s">
        <v>75</v>
      </c>
      <c r="D327" t="s">
        <v>17</v>
      </c>
      <c r="E327">
        <v>581</v>
      </c>
      <c r="F327">
        <v>37765</v>
      </c>
    </row>
    <row r="328" spans="1:6" x14ac:dyDescent="0.35">
      <c r="A328">
        <v>7</v>
      </c>
      <c r="B328" t="str">
        <f>CHOOSE(Table2[[#This Row],[Month]], "Jan","Feb","Mar","Apr","May","Jun","Jul","Aug","Sep","Oct","Nov","Dec")</f>
        <v>Jul</v>
      </c>
      <c r="C328" t="s">
        <v>77</v>
      </c>
      <c r="D328" t="s">
        <v>17</v>
      </c>
      <c r="E328">
        <v>1672</v>
      </c>
      <c r="F328">
        <v>202312</v>
      </c>
    </row>
    <row r="329" spans="1:6" x14ac:dyDescent="0.35">
      <c r="A329">
        <v>7</v>
      </c>
      <c r="B329" t="str">
        <f>CHOOSE(Table2[[#This Row],[Month]], "Jan","Feb","Mar","Apr","May","Jun","Jul","Aug","Sep","Oct","Nov","Dec")</f>
        <v>Jul</v>
      </c>
      <c r="C329" t="s">
        <v>79</v>
      </c>
      <c r="D329" t="s">
        <v>17</v>
      </c>
      <c r="E329">
        <v>4610</v>
      </c>
      <c r="F329">
        <v>248940</v>
      </c>
    </row>
    <row r="330" spans="1:6" x14ac:dyDescent="0.35">
      <c r="A330">
        <v>7</v>
      </c>
      <c r="B330" t="str">
        <f>CHOOSE(Table2[[#This Row],[Month]], "Jan","Feb","Mar","Apr","May","Jun","Jul","Aug","Sep","Oct","Nov","Dec")</f>
        <v>Jul</v>
      </c>
      <c r="C330" t="s">
        <v>81</v>
      </c>
      <c r="D330" t="s">
        <v>31</v>
      </c>
      <c r="E330">
        <v>2818</v>
      </c>
      <c r="F330">
        <v>245166</v>
      </c>
    </row>
    <row r="331" spans="1:6" x14ac:dyDescent="0.35">
      <c r="A331">
        <v>7</v>
      </c>
      <c r="B331" t="str">
        <f>CHOOSE(Table2[[#This Row],[Month]], "Jan","Feb","Mar","Apr","May","Jun","Jul","Aug","Sep","Oct","Nov","Dec")</f>
        <v>Jul</v>
      </c>
      <c r="C331" t="s">
        <v>83</v>
      </c>
      <c r="D331" t="s">
        <v>17</v>
      </c>
      <c r="E331">
        <v>949</v>
      </c>
      <c r="F331">
        <v>63583</v>
      </c>
    </row>
    <row r="332" spans="1:6" x14ac:dyDescent="0.35">
      <c r="A332">
        <v>7</v>
      </c>
      <c r="B332" t="str">
        <f>CHOOSE(Table2[[#This Row],[Month]], "Jan","Feb","Mar","Apr","May","Jun","Jul","Aug","Sep","Oct","Nov","Dec")</f>
        <v>Jul</v>
      </c>
      <c r="C332" t="s">
        <v>85</v>
      </c>
      <c r="D332" t="s">
        <v>11</v>
      </c>
      <c r="E332">
        <v>1026</v>
      </c>
      <c r="F332">
        <v>29754</v>
      </c>
    </row>
    <row r="333" spans="1:6" x14ac:dyDescent="0.35">
      <c r="A333">
        <v>7</v>
      </c>
      <c r="B333" t="str">
        <f>CHOOSE(Table2[[#This Row],[Month]], "Jan","Feb","Mar","Apr","May","Jun","Jul","Aug","Sep","Oct","Nov","Dec")</f>
        <v>Jul</v>
      </c>
      <c r="C333" t="s">
        <v>87</v>
      </c>
      <c r="D333" t="s">
        <v>21</v>
      </c>
      <c r="E333">
        <v>1872</v>
      </c>
      <c r="F333">
        <v>204048</v>
      </c>
    </row>
    <row r="334" spans="1:6" x14ac:dyDescent="0.35">
      <c r="A334">
        <v>7</v>
      </c>
      <c r="B334" t="str">
        <f>CHOOSE(Table2[[#This Row],[Month]], "Jan","Feb","Mar","Apr","May","Jun","Jul","Aug","Sep","Oct","Nov","Dec")</f>
        <v>Jul</v>
      </c>
      <c r="C334" t="s">
        <v>89</v>
      </c>
      <c r="D334" t="s">
        <v>17</v>
      </c>
      <c r="E334">
        <v>1825</v>
      </c>
      <c r="F334">
        <v>235425</v>
      </c>
    </row>
    <row r="335" spans="1:6" x14ac:dyDescent="0.35">
      <c r="A335">
        <v>7</v>
      </c>
      <c r="B335" t="str">
        <f>CHOOSE(Table2[[#This Row],[Month]], "Jan","Feb","Mar","Apr","May","Jun","Jul","Aug","Sep","Oct","Nov","Dec")</f>
        <v>Jul</v>
      </c>
      <c r="C335" t="s">
        <v>91</v>
      </c>
      <c r="D335" t="s">
        <v>31</v>
      </c>
      <c r="E335">
        <v>1113</v>
      </c>
      <c r="F335">
        <v>70119</v>
      </c>
    </row>
    <row r="336" spans="1:6" x14ac:dyDescent="0.35">
      <c r="A336">
        <v>7</v>
      </c>
      <c r="B336" t="str">
        <f>CHOOSE(Table2[[#This Row],[Month]], "Jan","Feb","Mar","Apr","May","Jun","Jul","Aug","Sep","Oct","Nov","Dec")</f>
        <v>Jul</v>
      </c>
      <c r="C336" t="s">
        <v>93</v>
      </c>
      <c r="D336" t="s">
        <v>21</v>
      </c>
      <c r="E336">
        <v>3329</v>
      </c>
      <c r="F336">
        <v>116515</v>
      </c>
    </row>
    <row r="337" spans="1:6" x14ac:dyDescent="0.35">
      <c r="A337">
        <v>7</v>
      </c>
      <c r="B337" t="str">
        <f>CHOOSE(Table2[[#This Row],[Month]], "Jan","Feb","Mar","Apr","May","Jun","Jul","Aug","Sep","Oct","Nov","Dec")</f>
        <v>Jul</v>
      </c>
      <c r="C337" t="s">
        <v>95</v>
      </c>
      <c r="D337" t="s">
        <v>17</v>
      </c>
      <c r="E337">
        <v>3323</v>
      </c>
      <c r="F337">
        <v>338946</v>
      </c>
    </row>
    <row r="338" spans="1:6" x14ac:dyDescent="0.35">
      <c r="A338">
        <v>7</v>
      </c>
      <c r="B338" t="str">
        <f>CHOOSE(Table2[[#This Row],[Month]], "Jan","Feb","Mar","Apr","May","Jun","Jul","Aug","Sep","Oct","Nov","Dec")</f>
        <v>Jul</v>
      </c>
      <c r="C338" t="s">
        <v>97</v>
      </c>
      <c r="D338" t="s">
        <v>21</v>
      </c>
      <c r="E338">
        <v>712</v>
      </c>
      <c r="F338">
        <v>54112</v>
      </c>
    </row>
    <row r="339" spans="1:6" x14ac:dyDescent="0.35">
      <c r="A339">
        <v>7</v>
      </c>
      <c r="B339" t="str">
        <f>CHOOSE(Table2[[#This Row],[Month]], "Jan","Feb","Mar","Apr","May","Jun","Jul","Aug","Sep","Oct","Nov","Dec")</f>
        <v>Jul</v>
      </c>
      <c r="C339" t="s">
        <v>99</v>
      </c>
      <c r="D339" t="s">
        <v>21</v>
      </c>
      <c r="E339">
        <v>2053</v>
      </c>
      <c r="F339">
        <v>69802</v>
      </c>
    </row>
    <row r="340" spans="1:6" x14ac:dyDescent="0.35">
      <c r="A340">
        <v>7</v>
      </c>
      <c r="B340" t="str">
        <f>CHOOSE(Table2[[#This Row],[Month]], "Jan","Feb","Mar","Apr","May","Jun","Jul","Aug","Sep","Oct","Nov","Dec")</f>
        <v>Jul</v>
      </c>
      <c r="C340" t="s">
        <v>101</v>
      </c>
      <c r="D340" t="s">
        <v>17</v>
      </c>
      <c r="E340">
        <v>2830</v>
      </c>
      <c r="F340">
        <v>268850</v>
      </c>
    </row>
    <row r="341" spans="1:6" x14ac:dyDescent="0.35">
      <c r="A341">
        <v>7</v>
      </c>
      <c r="B341" t="str">
        <f>CHOOSE(Table2[[#This Row],[Month]], "Jan","Feb","Mar","Apr","May","Jun","Jul","Aug","Sep","Oct","Nov","Dec")</f>
        <v>Jul</v>
      </c>
      <c r="C341" t="s">
        <v>103</v>
      </c>
      <c r="D341" t="s">
        <v>11</v>
      </c>
      <c r="E341">
        <v>2563</v>
      </c>
      <c r="F341">
        <v>82016</v>
      </c>
    </row>
    <row r="342" spans="1:6" x14ac:dyDescent="0.35">
      <c r="A342">
        <v>7</v>
      </c>
      <c r="B342" t="str">
        <f>CHOOSE(Table2[[#This Row],[Month]], "Jan","Feb","Mar","Apr","May","Jun","Jul","Aug","Sep","Oct","Nov","Dec")</f>
        <v>Jul</v>
      </c>
      <c r="C342" t="s">
        <v>105</v>
      </c>
      <c r="D342" t="s">
        <v>21</v>
      </c>
      <c r="E342">
        <v>3441</v>
      </c>
      <c r="F342">
        <v>289044</v>
      </c>
    </row>
    <row r="343" spans="1:6" x14ac:dyDescent="0.35">
      <c r="A343">
        <v>7</v>
      </c>
      <c r="B343" t="str">
        <f>CHOOSE(Table2[[#This Row],[Month]], "Jan","Feb","Mar","Apr","May","Jun","Jul","Aug","Sep","Oct","Nov","Dec")</f>
        <v>Jul</v>
      </c>
      <c r="C343" t="s">
        <v>107</v>
      </c>
      <c r="D343" t="s">
        <v>17</v>
      </c>
      <c r="E343">
        <v>4723</v>
      </c>
      <c r="F343">
        <v>396732</v>
      </c>
    </row>
    <row r="344" spans="1:6" x14ac:dyDescent="0.35">
      <c r="A344">
        <v>7</v>
      </c>
      <c r="B344" t="str">
        <f>CHOOSE(Table2[[#This Row],[Month]], "Jan","Feb","Mar","Apr","May","Jun","Jul","Aug","Sep","Oct","Nov","Dec")</f>
        <v>Jul</v>
      </c>
      <c r="C344" t="s">
        <v>109</v>
      </c>
      <c r="D344" t="s">
        <v>17</v>
      </c>
      <c r="E344">
        <v>1110</v>
      </c>
      <c r="F344">
        <v>124320</v>
      </c>
    </row>
    <row r="345" spans="1:6" x14ac:dyDescent="0.35">
      <c r="A345">
        <v>7</v>
      </c>
      <c r="B345" t="str">
        <f>CHOOSE(Table2[[#This Row],[Month]], "Jan","Feb","Mar","Apr","May","Jun","Jul","Aug","Sep","Oct","Nov","Dec")</f>
        <v>Jul</v>
      </c>
      <c r="C345" t="s">
        <v>111</v>
      </c>
      <c r="D345" t="s">
        <v>11</v>
      </c>
      <c r="E345">
        <v>1003</v>
      </c>
      <c r="F345">
        <v>51153</v>
      </c>
    </row>
    <row r="346" spans="1:6" x14ac:dyDescent="0.35">
      <c r="A346">
        <v>7</v>
      </c>
      <c r="B346" t="str">
        <f>CHOOSE(Table2[[#This Row],[Month]], "Jan","Feb","Mar","Apr","May","Jun","Jul","Aug","Sep","Oct","Nov","Dec")</f>
        <v>Jul</v>
      </c>
      <c r="C346" t="s">
        <v>113</v>
      </c>
      <c r="D346" t="s">
        <v>31</v>
      </c>
      <c r="E346">
        <v>4799</v>
      </c>
      <c r="F346">
        <v>604674</v>
      </c>
    </row>
    <row r="347" spans="1:6" x14ac:dyDescent="0.35">
      <c r="A347">
        <v>7</v>
      </c>
      <c r="B347" t="str">
        <f>CHOOSE(Table2[[#This Row],[Month]], "Jan","Feb","Mar","Apr","May","Jun","Jul","Aug","Sep","Oct","Nov","Dec")</f>
        <v>Jul</v>
      </c>
      <c r="C347" t="s">
        <v>115</v>
      </c>
      <c r="D347" t="s">
        <v>11</v>
      </c>
      <c r="E347">
        <v>829</v>
      </c>
      <c r="F347">
        <v>105283</v>
      </c>
    </row>
    <row r="348" spans="1:6" x14ac:dyDescent="0.35">
      <c r="A348">
        <v>7</v>
      </c>
      <c r="B348" t="str">
        <f>CHOOSE(Table2[[#This Row],[Month]], "Jan","Feb","Mar","Apr","May","Jun","Jul","Aug","Sep","Oct","Nov","Dec")</f>
        <v>Jul</v>
      </c>
      <c r="C348" t="s">
        <v>117</v>
      </c>
      <c r="D348" t="s">
        <v>17</v>
      </c>
      <c r="E348">
        <v>109</v>
      </c>
      <c r="F348">
        <v>5995</v>
      </c>
    </row>
    <row r="349" spans="1:6" x14ac:dyDescent="0.35">
      <c r="A349">
        <v>7</v>
      </c>
      <c r="B349" t="str">
        <f>CHOOSE(Table2[[#This Row],[Month]], "Jan","Feb","Mar","Apr","May","Jun","Jul","Aug","Sep","Oct","Nov","Dec")</f>
        <v>Jul</v>
      </c>
      <c r="C349" t="s">
        <v>119</v>
      </c>
      <c r="D349" t="s">
        <v>31</v>
      </c>
      <c r="E349">
        <v>2672</v>
      </c>
      <c r="F349">
        <v>82832</v>
      </c>
    </row>
    <row r="350" spans="1:6" x14ac:dyDescent="0.35">
      <c r="A350">
        <v>7</v>
      </c>
      <c r="B350" t="str">
        <f>CHOOSE(Table2[[#This Row],[Month]], "Jan","Feb","Mar","Apr","May","Jun","Jul","Aug","Sep","Oct","Nov","Dec")</f>
        <v>Jul</v>
      </c>
      <c r="C350" t="s">
        <v>121</v>
      </c>
      <c r="D350" t="s">
        <v>31</v>
      </c>
      <c r="E350">
        <v>1314</v>
      </c>
      <c r="F350">
        <v>165564</v>
      </c>
    </row>
    <row r="351" spans="1:6" x14ac:dyDescent="0.35">
      <c r="A351">
        <v>7</v>
      </c>
      <c r="B351" t="str">
        <f>CHOOSE(Table2[[#This Row],[Month]], "Jan","Feb","Mar","Apr","May","Jun","Jul","Aug","Sep","Oct","Nov","Dec")</f>
        <v>Jul</v>
      </c>
      <c r="C351" t="s">
        <v>123</v>
      </c>
      <c r="D351" t="s">
        <v>21</v>
      </c>
      <c r="E351">
        <v>2185</v>
      </c>
      <c r="F351">
        <v>229425</v>
      </c>
    </row>
    <row r="352" spans="1:6" x14ac:dyDescent="0.35">
      <c r="A352">
        <v>8</v>
      </c>
      <c r="B352" t="str">
        <f>CHOOSE(Table2[[#This Row],[Month]], "Jan","Feb","Mar","Apr","May","Jun","Jul","Aug","Sep","Oct","Nov","Dec")</f>
        <v>Aug</v>
      </c>
      <c r="C352" t="s">
        <v>8</v>
      </c>
      <c r="D352" t="s">
        <v>17</v>
      </c>
      <c r="E352">
        <v>2633</v>
      </c>
      <c r="F352">
        <v>313327</v>
      </c>
    </row>
    <row r="353" spans="1:6" x14ac:dyDescent="0.35">
      <c r="A353">
        <v>8</v>
      </c>
      <c r="B353" t="str">
        <f>CHOOSE(Table2[[#This Row],[Month]], "Jan","Feb","Mar","Apr","May","Jun","Jul","Aug","Sep","Oct","Nov","Dec")</f>
        <v>Aug</v>
      </c>
      <c r="C353" t="s">
        <v>15</v>
      </c>
      <c r="D353" t="s">
        <v>11</v>
      </c>
      <c r="E353">
        <v>1098</v>
      </c>
      <c r="F353">
        <v>136152</v>
      </c>
    </row>
    <row r="354" spans="1:6" x14ac:dyDescent="0.35">
      <c r="A354">
        <v>8</v>
      </c>
      <c r="B354" t="str">
        <f>CHOOSE(Table2[[#This Row],[Month]], "Jan","Feb","Mar","Apr","May","Jun","Jul","Aug","Sep","Oct","Nov","Dec")</f>
        <v>Aug</v>
      </c>
      <c r="C354" t="s">
        <v>19</v>
      </c>
      <c r="D354" t="s">
        <v>11</v>
      </c>
      <c r="E354">
        <v>3367</v>
      </c>
      <c r="F354">
        <v>74074</v>
      </c>
    </row>
    <row r="355" spans="1:6" x14ac:dyDescent="0.35">
      <c r="A355">
        <v>8</v>
      </c>
      <c r="B355" t="str">
        <f>CHOOSE(Table2[[#This Row],[Month]], "Jan","Feb","Mar","Apr","May","Jun","Jul","Aug","Sep","Oct","Nov","Dec")</f>
        <v>Aug</v>
      </c>
      <c r="C355" t="s">
        <v>24</v>
      </c>
      <c r="D355" t="s">
        <v>21</v>
      </c>
      <c r="E355">
        <v>3392</v>
      </c>
      <c r="F355">
        <v>474880</v>
      </c>
    </row>
    <row r="356" spans="1:6" x14ac:dyDescent="0.35">
      <c r="A356">
        <v>8</v>
      </c>
      <c r="B356" t="str">
        <f>CHOOSE(Table2[[#This Row],[Month]], "Jan","Feb","Mar","Apr","May","Jun","Jul","Aug","Sep","Oct","Nov","Dec")</f>
        <v>Aug</v>
      </c>
      <c r="C356" t="s">
        <v>28</v>
      </c>
      <c r="D356" t="s">
        <v>17</v>
      </c>
      <c r="E356">
        <v>486</v>
      </c>
      <c r="F356">
        <v>30132</v>
      </c>
    </row>
    <row r="357" spans="1:6" x14ac:dyDescent="0.35">
      <c r="A357">
        <v>8</v>
      </c>
      <c r="B357" t="str">
        <f>CHOOSE(Table2[[#This Row],[Month]], "Jan","Feb","Mar","Apr","May","Jun","Jul","Aug","Sep","Oct","Nov","Dec")</f>
        <v>Aug</v>
      </c>
      <c r="C357" t="s">
        <v>33</v>
      </c>
      <c r="D357" t="s">
        <v>31</v>
      </c>
      <c r="E357">
        <v>1763</v>
      </c>
      <c r="F357">
        <v>59942</v>
      </c>
    </row>
    <row r="358" spans="1:6" x14ac:dyDescent="0.35">
      <c r="A358">
        <v>8</v>
      </c>
      <c r="B358" t="str">
        <f>CHOOSE(Table2[[#This Row],[Month]], "Jan","Feb","Mar","Apr","May","Jun","Jul","Aug","Sep","Oct","Nov","Dec")</f>
        <v>Aug</v>
      </c>
      <c r="C358" t="s">
        <v>36</v>
      </c>
      <c r="D358" t="s">
        <v>11</v>
      </c>
      <c r="E358">
        <v>1131</v>
      </c>
      <c r="F358">
        <v>111969</v>
      </c>
    </row>
    <row r="359" spans="1:6" x14ac:dyDescent="0.35">
      <c r="A359">
        <v>8</v>
      </c>
      <c r="B359" t="str">
        <f>CHOOSE(Table2[[#This Row],[Month]], "Jan","Feb","Mar","Apr","May","Jun","Jul","Aug","Sep","Oct","Nov","Dec")</f>
        <v>Aug</v>
      </c>
      <c r="C359" t="s">
        <v>39</v>
      </c>
      <c r="D359" t="s">
        <v>17</v>
      </c>
      <c r="E359">
        <v>3256</v>
      </c>
      <c r="F359">
        <v>351648</v>
      </c>
    </row>
    <row r="360" spans="1:6" x14ac:dyDescent="0.35">
      <c r="A360">
        <v>8</v>
      </c>
      <c r="B360" t="str">
        <f>CHOOSE(Table2[[#This Row],[Month]], "Jan","Feb","Mar","Apr","May","Jun","Jul","Aug","Sep","Oct","Nov","Dec")</f>
        <v>Aug</v>
      </c>
      <c r="C360" t="s">
        <v>41</v>
      </c>
      <c r="D360" t="s">
        <v>11</v>
      </c>
      <c r="E360">
        <v>963</v>
      </c>
      <c r="F360">
        <v>141561</v>
      </c>
    </row>
    <row r="361" spans="1:6" x14ac:dyDescent="0.35">
      <c r="A361">
        <v>8</v>
      </c>
      <c r="B361" t="str">
        <f>CHOOSE(Table2[[#This Row],[Month]], "Jan","Feb","Mar","Apr","May","Jun","Jul","Aug","Sep","Oct","Nov","Dec")</f>
        <v>Aug</v>
      </c>
      <c r="C361" t="s">
        <v>43</v>
      </c>
      <c r="D361" t="s">
        <v>31</v>
      </c>
      <c r="E361">
        <v>1484</v>
      </c>
      <c r="F361">
        <v>81620</v>
      </c>
    </row>
    <row r="362" spans="1:6" x14ac:dyDescent="0.35">
      <c r="A362">
        <v>8</v>
      </c>
      <c r="B362" t="str">
        <f>CHOOSE(Table2[[#This Row],[Month]], "Jan","Feb","Mar","Apr","May","Jun","Jul","Aug","Sep","Oct","Nov","Dec")</f>
        <v>Aug</v>
      </c>
      <c r="C362" t="s">
        <v>45</v>
      </c>
      <c r="D362" t="s">
        <v>17</v>
      </c>
      <c r="E362">
        <v>3722</v>
      </c>
      <c r="F362">
        <v>509914</v>
      </c>
    </row>
    <row r="363" spans="1:6" x14ac:dyDescent="0.35">
      <c r="A363">
        <v>8</v>
      </c>
      <c r="B363" t="str">
        <f>CHOOSE(Table2[[#This Row],[Month]], "Jan","Feb","Mar","Apr","May","Jun","Jul","Aug","Sep","Oct","Nov","Dec")</f>
        <v>Aug</v>
      </c>
      <c r="C363" t="s">
        <v>47</v>
      </c>
      <c r="D363" t="s">
        <v>11</v>
      </c>
      <c r="E363">
        <v>4787</v>
      </c>
      <c r="F363">
        <v>354238</v>
      </c>
    </row>
    <row r="364" spans="1:6" x14ac:dyDescent="0.35">
      <c r="A364">
        <v>8</v>
      </c>
      <c r="B364" t="str">
        <f>CHOOSE(Table2[[#This Row],[Month]], "Jan","Feb","Mar","Apr","May","Jun","Jul","Aug","Sep","Oct","Nov","Dec")</f>
        <v>Aug</v>
      </c>
      <c r="C364" t="s">
        <v>49</v>
      </c>
      <c r="D364" t="s">
        <v>17</v>
      </c>
      <c r="E364">
        <v>521</v>
      </c>
      <c r="F364">
        <v>14588</v>
      </c>
    </row>
    <row r="365" spans="1:6" x14ac:dyDescent="0.35">
      <c r="A365">
        <v>8</v>
      </c>
      <c r="B365" t="str">
        <f>CHOOSE(Table2[[#This Row],[Month]], "Jan","Feb","Mar","Apr","May","Jun","Jul","Aug","Sep","Oct","Nov","Dec")</f>
        <v>Aug</v>
      </c>
      <c r="C365" t="s">
        <v>51</v>
      </c>
      <c r="D365" t="s">
        <v>17</v>
      </c>
      <c r="E365">
        <v>4146</v>
      </c>
      <c r="F365">
        <v>414600</v>
      </c>
    </row>
    <row r="366" spans="1:6" x14ac:dyDescent="0.35">
      <c r="A366">
        <v>8</v>
      </c>
      <c r="B366" t="str">
        <f>CHOOSE(Table2[[#This Row],[Month]], "Jan","Feb","Mar","Apr","May","Jun","Jul","Aug","Sep","Oct","Nov","Dec")</f>
        <v>Aug</v>
      </c>
      <c r="C366" t="s">
        <v>53</v>
      </c>
      <c r="D366" t="s">
        <v>17</v>
      </c>
      <c r="E366">
        <v>1896</v>
      </c>
      <c r="F366">
        <v>191496</v>
      </c>
    </row>
    <row r="367" spans="1:6" x14ac:dyDescent="0.35">
      <c r="A367">
        <v>8</v>
      </c>
      <c r="B367" t="str">
        <f>CHOOSE(Table2[[#This Row],[Month]], "Jan","Feb","Mar","Apr","May","Jun","Jul","Aug","Sep","Oct","Nov","Dec")</f>
        <v>Aug</v>
      </c>
      <c r="C367" t="s">
        <v>55</v>
      </c>
      <c r="D367" t="s">
        <v>31</v>
      </c>
      <c r="E367">
        <v>1070</v>
      </c>
      <c r="F367">
        <v>68480</v>
      </c>
    </row>
    <row r="368" spans="1:6" x14ac:dyDescent="0.35">
      <c r="A368">
        <v>8</v>
      </c>
      <c r="B368" t="str">
        <f>CHOOSE(Table2[[#This Row],[Month]], "Jan","Feb","Mar","Apr","May","Jun","Jul","Aug","Sep","Oct","Nov","Dec")</f>
        <v>Aug</v>
      </c>
      <c r="C368" t="s">
        <v>57</v>
      </c>
      <c r="D368" t="s">
        <v>17</v>
      </c>
      <c r="E368">
        <v>1866</v>
      </c>
      <c r="F368">
        <v>39186</v>
      </c>
    </row>
    <row r="369" spans="1:6" x14ac:dyDescent="0.35">
      <c r="A369">
        <v>8</v>
      </c>
      <c r="B369" t="str">
        <f>CHOOSE(Table2[[#This Row],[Month]], "Jan","Feb","Mar","Apr","May","Jun","Jul","Aug","Sep","Oct","Nov","Dec")</f>
        <v>Aug</v>
      </c>
      <c r="C369" t="s">
        <v>59</v>
      </c>
      <c r="D369" t="s">
        <v>21</v>
      </c>
      <c r="E369">
        <v>2343</v>
      </c>
      <c r="F369">
        <v>46860</v>
      </c>
    </row>
    <row r="370" spans="1:6" x14ac:dyDescent="0.35">
      <c r="A370">
        <v>8</v>
      </c>
      <c r="B370" t="str">
        <f>CHOOSE(Table2[[#This Row],[Month]], "Jan","Feb","Mar","Apr","May","Jun","Jul","Aug","Sep","Oct","Nov","Dec")</f>
        <v>Aug</v>
      </c>
      <c r="C370" t="s">
        <v>61</v>
      </c>
      <c r="D370" t="s">
        <v>21</v>
      </c>
      <c r="E370">
        <v>3267</v>
      </c>
      <c r="F370">
        <v>238491</v>
      </c>
    </row>
    <row r="371" spans="1:6" x14ac:dyDescent="0.35">
      <c r="A371">
        <v>8</v>
      </c>
      <c r="B371" t="str">
        <f>CHOOSE(Table2[[#This Row],[Month]], "Jan","Feb","Mar","Apr","May","Jun","Jul","Aug","Sep","Oct","Nov","Dec")</f>
        <v>Aug</v>
      </c>
      <c r="C371" t="s">
        <v>63</v>
      </c>
      <c r="D371" t="s">
        <v>11</v>
      </c>
      <c r="E371">
        <v>388</v>
      </c>
      <c r="F371">
        <v>16296</v>
      </c>
    </row>
    <row r="372" spans="1:6" x14ac:dyDescent="0.35">
      <c r="A372">
        <v>8</v>
      </c>
      <c r="B372" t="str">
        <f>CHOOSE(Table2[[#This Row],[Month]], "Jan","Feb","Mar","Apr","May","Jun","Jul","Aug","Sep","Oct","Nov","Dec")</f>
        <v>Aug</v>
      </c>
      <c r="C372" t="s">
        <v>65</v>
      </c>
      <c r="D372" t="s">
        <v>11</v>
      </c>
      <c r="E372">
        <v>525</v>
      </c>
      <c r="F372">
        <v>59325</v>
      </c>
    </row>
    <row r="373" spans="1:6" x14ac:dyDescent="0.35">
      <c r="A373">
        <v>8</v>
      </c>
      <c r="B373" t="str">
        <f>CHOOSE(Table2[[#This Row],[Month]], "Jan","Feb","Mar","Apr","May","Jun","Jul","Aug","Sep","Oct","Nov","Dec")</f>
        <v>Aug</v>
      </c>
      <c r="C373" t="s">
        <v>67</v>
      </c>
      <c r="D373" t="s">
        <v>17</v>
      </c>
      <c r="E373">
        <v>3097</v>
      </c>
      <c r="F373">
        <v>393319</v>
      </c>
    </row>
    <row r="374" spans="1:6" x14ac:dyDescent="0.35">
      <c r="A374">
        <v>8</v>
      </c>
      <c r="B374" t="str">
        <f>CHOOSE(Table2[[#This Row],[Month]], "Jan","Feb","Mar","Apr","May","Jun","Jul","Aug","Sep","Oct","Nov","Dec")</f>
        <v>Aug</v>
      </c>
      <c r="C374" t="s">
        <v>69</v>
      </c>
      <c r="D374" t="s">
        <v>17</v>
      </c>
      <c r="E374">
        <v>4928</v>
      </c>
      <c r="F374">
        <v>325248</v>
      </c>
    </row>
    <row r="375" spans="1:6" x14ac:dyDescent="0.35">
      <c r="A375">
        <v>8</v>
      </c>
      <c r="B375" t="str">
        <f>CHOOSE(Table2[[#This Row],[Month]], "Jan","Feb","Mar","Apr","May","Jun","Jul","Aug","Sep","Oct","Nov","Dec")</f>
        <v>Aug</v>
      </c>
      <c r="C375" t="s">
        <v>71</v>
      </c>
      <c r="D375" t="s">
        <v>31</v>
      </c>
      <c r="E375">
        <v>4878</v>
      </c>
      <c r="F375">
        <v>97560</v>
      </c>
    </row>
    <row r="376" spans="1:6" x14ac:dyDescent="0.35">
      <c r="A376">
        <v>8</v>
      </c>
      <c r="B376" t="str">
        <f>CHOOSE(Table2[[#This Row],[Month]], "Jan","Feb","Mar","Apr","May","Jun","Jul","Aug","Sep","Oct","Nov","Dec")</f>
        <v>Aug</v>
      </c>
      <c r="C376" t="s">
        <v>73</v>
      </c>
      <c r="D376" t="s">
        <v>11</v>
      </c>
      <c r="E376">
        <v>4588</v>
      </c>
      <c r="F376">
        <v>339512</v>
      </c>
    </row>
    <row r="377" spans="1:6" x14ac:dyDescent="0.35">
      <c r="A377">
        <v>8</v>
      </c>
      <c r="B377" t="str">
        <f>CHOOSE(Table2[[#This Row],[Month]], "Jan","Feb","Mar","Apr","May","Jun","Jul","Aug","Sep","Oct","Nov","Dec")</f>
        <v>Aug</v>
      </c>
      <c r="C377" t="s">
        <v>75</v>
      </c>
      <c r="D377" t="s">
        <v>11</v>
      </c>
      <c r="E377">
        <v>3045</v>
      </c>
      <c r="F377">
        <v>456750</v>
      </c>
    </row>
    <row r="378" spans="1:6" x14ac:dyDescent="0.35">
      <c r="A378">
        <v>8</v>
      </c>
      <c r="B378" t="str">
        <f>CHOOSE(Table2[[#This Row],[Month]], "Jan","Feb","Mar","Apr","May","Jun","Jul","Aug","Sep","Oct","Nov","Dec")</f>
        <v>Aug</v>
      </c>
      <c r="C378" t="s">
        <v>77</v>
      </c>
      <c r="D378" t="s">
        <v>17</v>
      </c>
      <c r="E378">
        <v>3639</v>
      </c>
      <c r="F378">
        <v>171033</v>
      </c>
    </row>
    <row r="379" spans="1:6" x14ac:dyDescent="0.35">
      <c r="A379">
        <v>8</v>
      </c>
      <c r="B379" t="str">
        <f>CHOOSE(Table2[[#This Row],[Month]], "Jan","Feb","Mar","Apr","May","Jun","Jul","Aug","Sep","Oct","Nov","Dec")</f>
        <v>Aug</v>
      </c>
      <c r="C379" t="s">
        <v>79</v>
      </c>
      <c r="D379" t="s">
        <v>31</v>
      </c>
      <c r="E379">
        <v>3563</v>
      </c>
      <c r="F379">
        <v>256536</v>
      </c>
    </row>
    <row r="380" spans="1:6" x14ac:dyDescent="0.35">
      <c r="A380">
        <v>8</v>
      </c>
      <c r="B380" t="str">
        <f>CHOOSE(Table2[[#This Row],[Month]], "Jan","Feb","Mar","Apr","May","Jun","Jul","Aug","Sep","Oct","Nov","Dec")</f>
        <v>Aug</v>
      </c>
      <c r="C380" t="s">
        <v>81</v>
      </c>
      <c r="D380" t="s">
        <v>11</v>
      </c>
      <c r="E380">
        <v>186</v>
      </c>
      <c r="F380">
        <v>12834</v>
      </c>
    </row>
    <row r="381" spans="1:6" x14ac:dyDescent="0.35">
      <c r="A381">
        <v>8</v>
      </c>
      <c r="B381" t="str">
        <f>CHOOSE(Table2[[#This Row],[Month]], "Jan","Feb","Mar","Apr","May","Jun","Jul","Aug","Sep","Oct","Nov","Dec")</f>
        <v>Aug</v>
      </c>
      <c r="C381" t="s">
        <v>83</v>
      </c>
      <c r="D381" t="s">
        <v>21</v>
      </c>
      <c r="E381">
        <v>3678</v>
      </c>
      <c r="F381">
        <v>327342</v>
      </c>
    </row>
    <row r="382" spans="1:6" x14ac:dyDescent="0.35">
      <c r="A382">
        <v>8</v>
      </c>
      <c r="B382" t="str">
        <f>CHOOSE(Table2[[#This Row],[Month]], "Jan","Feb","Mar","Apr","May","Jun","Jul","Aug","Sep","Oct","Nov","Dec")</f>
        <v>Aug</v>
      </c>
      <c r="C382" t="s">
        <v>85</v>
      </c>
      <c r="D382" t="s">
        <v>31</v>
      </c>
      <c r="E382">
        <v>4186</v>
      </c>
      <c r="F382">
        <v>246974</v>
      </c>
    </row>
    <row r="383" spans="1:6" x14ac:dyDescent="0.35">
      <c r="A383">
        <v>8</v>
      </c>
      <c r="B383" t="str">
        <f>CHOOSE(Table2[[#This Row],[Month]], "Jan","Feb","Mar","Apr","May","Jun","Jul","Aug","Sep","Oct","Nov","Dec")</f>
        <v>Aug</v>
      </c>
      <c r="C383" t="s">
        <v>87</v>
      </c>
      <c r="D383" t="s">
        <v>21</v>
      </c>
      <c r="E383">
        <v>4893</v>
      </c>
      <c r="F383">
        <v>322938</v>
      </c>
    </row>
    <row r="384" spans="1:6" x14ac:dyDescent="0.35">
      <c r="A384">
        <v>8</v>
      </c>
      <c r="B384" t="str">
        <f>CHOOSE(Table2[[#This Row],[Month]], "Jan","Feb","Mar","Apr","May","Jun","Jul","Aug","Sep","Oct","Nov","Dec")</f>
        <v>Aug</v>
      </c>
      <c r="C384" t="s">
        <v>89</v>
      </c>
      <c r="D384" t="s">
        <v>17</v>
      </c>
      <c r="E384">
        <v>4483</v>
      </c>
      <c r="F384">
        <v>641069</v>
      </c>
    </row>
    <row r="385" spans="1:6" x14ac:dyDescent="0.35">
      <c r="A385">
        <v>8</v>
      </c>
      <c r="B385" t="str">
        <f>CHOOSE(Table2[[#This Row],[Month]], "Jan","Feb","Mar","Apr","May","Jun","Jul","Aug","Sep","Oct","Nov","Dec")</f>
        <v>Aug</v>
      </c>
      <c r="C385" t="s">
        <v>91</v>
      </c>
      <c r="D385" t="s">
        <v>17</v>
      </c>
      <c r="E385">
        <v>1378</v>
      </c>
      <c r="F385">
        <v>42718</v>
      </c>
    </row>
    <row r="386" spans="1:6" x14ac:dyDescent="0.35">
      <c r="A386">
        <v>8</v>
      </c>
      <c r="B386" t="str">
        <f>CHOOSE(Table2[[#This Row],[Month]], "Jan","Feb","Mar","Apr","May","Jun","Jul","Aug","Sep","Oct","Nov","Dec")</f>
        <v>Aug</v>
      </c>
      <c r="C386" t="s">
        <v>93</v>
      </c>
      <c r="D386" t="s">
        <v>21</v>
      </c>
      <c r="E386">
        <v>3861</v>
      </c>
      <c r="F386">
        <v>177606</v>
      </c>
    </row>
    <row r="387" spans="1:6" x14ac:dyDescent="0.35">
      <c r="A387">
        <v>8</v>
      </c>
      <c r="B387" t="str">
        <f>CHOOSE(Table2[[#This Row],[Month]], "Jan","Feb","Mar","Apr","May","Jun","Jul","Aug","Sep","Oct","Nov","Dec")</f>
        <v>Aug</v>
      </c>
      <c r="C387" t="s">
        <v>95</v>
      </c>
      <c r="D387" t="s">
        <v>31</v>
      </c>
      <c r="E387">
        <v>310</v>
      </c>
      <c r="F387">
        <v>35650</v>
      </c>
    </row>
    <row r="388" spans="1:6" x14ac:dyDescent="0.35">
      <c r="A388">
        <v>8</v>
      </c>
      <c r="B388" t="str">
        <f>CHOOSE(Table2[[#This Row],[Month]], "Jan","Feb","Mar","Apr","May","Jun","Jul","Aug","Sep","Oct","Nov","Dec")</f>
        <v>Aug</v>
      </c>
      <c r="C388" t="s">
        <v>97</v>
      </c>
      <c r="D388" t="s">
        <v>31</v>
      </c>
      <c r="E388">
        <v>1021</v>
      </c>
      <c r="F388">
        <v>105163</v>
      </c>
    </row>
    <row r="389" spans="1:6" x14ac:dyDescent="0.35">
      <c r="A389">
        <v>8</v>
      </c>
      <c r="B389" t="str">
        <f>CHOOSE(Table2[[#This Row],[Month]], "Jan","Feb","Mar","Apr","May","Jun","Jul","Aug","Sep","Oct","Nov","Dec")</f>
        <v>Aug</v>
      </c>
      <c r="C389" t="s">
        <v>99</v>
      </c>
      <c r="D389" t="s">
        <v>17</v>
      </c>
      <c r="E389">
        <v>228</v>
      </c>
      <c r="F389">
        <v>7980</v>
      </c>
    </row>
    <row r="390" spans="1:6" x14ac:dyDescent="0.35">
      <c r="A390">
        <v>8</v>
      </c>
      <c r="B390" t="str">
        <f>CHOOSE(Table2[[#This Row],[Month]], "Jan","Feb","Mar","Apr","May","Jun","Jul","Aug","Sep","Oct","Nov","Dec")</f>
        <v>Aug</v>
      </c>
      <c r="C390" t="s">
        <v>101</v>
      </c>
      <c r="D390" t="s">
        <v>11</v>
      </c>
      <c r="E390">
        <v>3878</v>
      </c>
      <c r="F390">
        <v>255948</v>
      </c>
    </row>
    <row r="391" spans="1:6" x14ac:dyDescent="0.35">
      <c r="A391">
        <v>8</v>
      </c>
      <c r="B391" t="str">
        <f>CHOOSE(Table2[[#This Row],[Month]], "Jan","Feb","Mar","Apr","May","Jun","Jul","Aug","Sep","Oct","Nov","Dec")</f>
        <v>Aug</v>
      </c>
      <c r="C391" t="s">
        <v>103</v>
      </c>
      <c r="D391" t="s">
        <v>17</v>
      </c>
      <c r="E391">
        <v>1269</v>
      </c>
      <c r="F391">
        <v>78678</v>
      </c>
    </row>
    <row r="392" spans="1:6" x14ac:dyDescent="0.35">
      <c r="A392">
        <v>8</v>
      </c>
      <c r="B392" t="str">
        <f>CHOOSE(Table2[[#This Row],[Month]], "Jan","Feb","Mar","Apr","May","Jun","Jul","Aug","Sep","Oct","Nov","Dec")</f>
        <v>Aug</v>
      </c>
      <c r="C392" t="s">
        <v>105</v>
      </c>
      <c r="D392" t="s">
        <v>31</v>
      </c>
      <c r="E392">
        <v>2927</v>
      </c>
      <c r="F392">
        <v>360021</v>
      </c>
    </row>
    <row r="393" spans="1:6" x14ac:dyDescent="0.35">
      <c r="A393">
        <v>8</v>
      </c>
      <c r="B393" t="str">
        <f>CHOOSE(Table2[[#This Row],[Month]], "Jan","Feb","Mar","Apr","May","Jun","Jul","Aug","Sep","Oct","Nov","Dec")</f>
        <v>Aug</v>
      </c>
      <c r="C393" t="s">
        <v>107</v>
      </c>
      <c r="D393" t="s">
        <v>31</v>
      </c>
      <c r="E393">
        <v>301</v>
      </c>
      <c r="F393">
        <v>12341</v>
      </c>
    </row>
    <row r="394" spans="1:6" x14ac:dyDescent="0.35">
      <c r="A394">
        <v>8</v>
      </c>
      <c r="B394" t="str">
        <f>CHOOSE(Table2[[#This Row],[Month]], "Jan","Feb","Mar","Apr","May","Jun","Jul","Aug","Sep","Oct","Nov","Dec")</f>
        <v>Aug</v>
      </c>
      <c r="C394" t="s">
        <v>109</v>
      </c>
      <c r="D394" t="s">
        <v>11</v>
      </c>
      <c r="E394">
        <v>4376</v>
      </c>
      <c r="F394">
        <v>529496</v>
      </c>
    </row>
    <row r="395" spans="1:6" x14ac:dyDescent="0.35">
      <c r="A395">
        <v>8</v>
      </c>
      <c r="B395" t="str">
        <f>CHOOSE(Table2[[#This Row],[Month]], "Jan","Feb","Mar","Apr","May","Jun","Jul","Aug","Sep","Oct","Nov","Dec")</f>
        <v>Aug</v>
      </c>
      <c r="C395" t="s">
        <v>111</v>
      </c>
      <c r="D395" t="s">
        <v>11</v>
      </c>
      <c r="E395">
        <v>686</v>
      </c>
      <c r="F395">
        <v>52136</v>
      </c>
    </row>
    <row r="396" spans="1:6" x14ac:dyDescent="0.35">
      <c r="A396">
        <v>8</v>
      </c>
      <c r="B396" t="str">
        <f>CHOOSE(Table2[[#This Row],[Month]], "Jan","Feb","Mar","Apr","May","Jun","Jul","Aug","Sep","Oct","Nov","Dec")</f>
        <v>Aug</v>
      </c>
      <c r="C396" t="s">
        <v>113</v>
      </c>
      <c r="D396" t="s">
        <v>11</v>
      </c>
      <c r="E396">
        <v>2439</v>
      </c>
      <c r="F396">
        <v>112194</v>
      </c>
    </row>
    <row r="397" spans="1:6" x14ac:dyDescent="0.35">
      <c r="A397">
        <v>8</v>
      </c>
      <c r="B397" t="str">
        <f>CHOOSE(Table2[[#This Row],[Month]], "Jan","Feb","Mar","Apr","May","Jun","Jul","Aug","Sep","Oct","Nov","Dec")</f>
        <v>Aug</v>
      </c>
      <c r="C397" t="s">
        <v>115</v>
      </c>
      <c r="D397" t="s">
        <v>11</v>
      </c>
      <c r="E397">
        <v>4250</v>
      </c>
      <c r="F397">
        <v>603500</v>
      </c>
    </row>
    <row r="398" spans="1:6" x14ac:dyDescent="0.35">
      <c r="A398">
        <v>8</v>
      </c>
      <c r="B398" t="str">
        <f>CHOOSE(Table2[[#This Row],[Month]], "Jan","Feb","Mar","Apr","May","Jun","Jul","Aug","Sep","Oct","Nov","Dec")</f>
        <v>Aug</v>
      </c>
      <c r="C398" t="s">
        <v>117</v>
      </c>
      <c r="D398" t="s">
        <v>17</v>
      </c>
      <c r="E398">
        <v>2210</v>
      </c>
      <c r="F398">
        <v>53040</v>
      </c>
    </row>
    <row r="399" spans="1:6" x14ac:dyDescent="0.35">
      <c r="A399">
        <v>8</v>
      </c>
      <c r="B399" t="str">
        <f>CHOOSE(Table2[[#This Row],[Month]], "Jan","Feb","Mar","Apr","May","Jun","Jul","Aug","Sep","Oct","Nov","Dec")</f>
        <v>Aug</v>
      </c>
      <c r="C399" t="s">
        <v>119</v>
      </c>
      <c r="D399" t="s">
        <v>21</v>
      </c>
      <c r="E399">
        <v>3629</v>
      </c>
      <c r="F399">
        <v>116128</v>
      </c>
    </row>
    <row r="400" spans="1:6" x14ac:dyDescent="0.35">
      <c r="A400">
        <v>8</v>
      </c>
      <c r="B400" t="str">
        <f>CHOOSE(Table2[[#This Row],[Month]], "Jan","Feb","Mar","Apr","May","Jun","Jul","Aug","Sep","Oct","Nov","Dec")</f>
        <v>Aug</v>
      </c>
      <c r="C400" t="s">
        <v>121</v>
      </c>
      <c r="D400" t="s">
        <v>11</v>
      </c>
      <c r="E400">
        <v>2663</v>
      </c>
      <c r="F400">
        <v>157117</v>
      </c>
    </row>
    <row r="401" spans="1:6" x14ac:dyDescent="0.35">
      <c r="A401">
        <v>8</v>
      </c>
      <c r="B401" t="str">
        <f>CHOOSE(Table2[[#This Row],[Month]], "Jan","Feb","Mar","Apr","May","Jun","Jul","Aug","Sep","Oct","Nov","Dec")</f>
        <v>Aug</v>
      </c>
      <c r="C401" t="s">
        <v>123</v>
      </c>
      <c r="D401" t="s">
        <v>11</v>
      </c>
      <c r="E401">
        <v>4822</v>
      </c>
      <c r="F401">
        <v>342362</v>
      </c>
    </row>
    <row r="402" spans="1:6" x14ac:dyDescent="0.35">
      <c r="A402">
        <v>9</v>
      </c>
      <c r="B402" t="str">
        <f>CHOOSE(Table2[[#This Row],[Month]], "Jan","Feb","Mar","Apr","May","Jun","Jul","Aug","Sep","Oct","Nov","Dec")</f>
        <v>Sep</v>
      </c>
      <c r="C402" t="s">
        <v>8</v>
      </c>
      <c r="D402" t="s">
        <v>21</v>
      </c>
      <c r="E402">
        <v>3854</v>
      </c>
      <c r="F402">
        <v>535706</v>
      </c>
    </row>
    <row r="403" spans="1:6" x14ac:dyDescent="0.35">
      <c r="A403">
        <v>9</v>
      </c>
      <c r="B403" t="str">
        <f>CHOOSE(Table2[[#This Row],[Month]], "Jan","Feb","Mar","Apr","May","Jun","Jul","Aug","Sep","Oct","Nov","Dec")</f>
        <v>Sep</v>
      </c>
      <c r="C403" t="s">
        <v>15</v>
      </c>
      <c r="D403" t="s">
        <v>17</v>
      </c>
      <c r="E403">
        <v>2754</v>
      </c>
      <c r="F403">
        <v>264384</v>
      </c>
    </row>
    <row r="404" spans="1:6" x14ac:dyDescent="0.35">
      <c r="A404">
        <v>9</v>
      </c>
      <c r="B404" t="str">
        <f>CHOOSE(Table2[[#This Row],[Month]], "Jan","Feb","Mar","Apr","May","Jun","Jul","Aug","Sep","Oct","Nov","Dec")</f>
        <v>Sep</v>
      </c>
      <c r="C404" t="s">
        <v>19</v>
      </c>
      <c r="D404" t="s">
        <v>21</v>
      </c>
      <c r="E404">
        <v>1001</v>
      </c>
      <c r="F404">
        <v>35035</v>
      </c>
    </row>
    <row r="405" spans="1:6" x14ac:dyDescent="0.35">
      <c r="A405">
        <v>9</v>
      </c>
      <c r="B405" t="str">
        <f>CHOOSE(Table2[[#This Row],[Month]], "Jan","Feb","Mar","Apr","May","Jun","Jul","Aug","Sep","Oct","Nov","Dec")</f>
        <v>Sep</v>
      </c>
      <c r="C405" t="s">
        <v>24</v>
      </c>
      <c r="D405" t="s">
        <v>21</v>
      </c>
      <c r="E405">
        <v>4486</v>
      </c>
      <c r="F405">
        <v>488974</v>
      </c>
    </row>
    <row r="406" spans="1:6" x14ac:dyDescent="0.35">
      <c r="A406">
        <v>9</v>
      </c>
      <c r="B406" t="str">
        <f>CHOOSE(Table2[[#This Row],[Month]], "Jan","Feb","Mar","Apr","May","Jun","Jul","Aug","Sep","Oct","Nov","Dec")</f>
        <v>Sep</v>
      </c>
      <c r="C406" t="s">
        <v>28</v>
      </c>
      <c r="D406" t="s">
        <v>17</v>
      </c>
      <c r="E406">
        <v>2342</v>
      </c>
      <c r="F406">
        <v>175650</v>
      </c>
    </row>
    <row r="407" spans="1:6" x14ac:dyDescent="0.35">
      <c r="A407">
        <v>9</v>
      </c>
      <c r="B407" t="str">
        <f>CHOOSE(Table2[[#This Row],[Month]], "Jan","Feb","Mar","Apr","May","Jun","Jul","Aug","Sep","Oct","Nov","Dec")</f>
        <v>Sep</v>
      </c>
      <c r="C407" t="s">
        <v>33</v>
      </c>
      <c r="D407" t="s">
        <v>11</v>
      </c>
      <c r="E407">
        <v>2779</v>
      </c>
      <c r="F407">
        <v>66696</v>
      </c>
    </row>
    <row r="408" spans="1:6" x14ac:dyDescent="0.35">
      <c r="A408">
        <v>9</v>
      </c>
      <c r="B408" t="str">
        <f>CHOOSE(Table2[[#This Row],[Month]], "Jan","Feb","Mar","Apr","May","Jun","Jul","Aug","Sep","Oct","Nov","Dec")</f>
        <v>Sep</v>
      </c>
      <c r="C408" t="s">
        <v>36</v>
      </c>
      <c r="D408" t="s">
        <v>31</v>
      </c>
      <c r="E408">
        <v>4284</v>
      </c>
      <c r="F408">
        <v>278460</v>
      </c>
    </row>
    <row r="409" spans="1:6" x14ac:dyDescent="0.35">
      <c r="A409">
        <v>9</v>
      </c>
      <c r="B409" t="str">
        <f>CHOOSE(Table2[[#This Row],[Month]], "Jan","Feb","Mar","Apr","May","Jun","Jul","Aug","Sep","Oct","Nov","Dec")</f>
        <v>Sep</v>
      </c>
      <c r="C409" t="s">
        <v>39</v>
      </c>
      <c r="D409" t="s">
        <v>21</v>
      </c>
      <c r="E409">
        <v>166</v>
      </c>
      <c r="F409">
        <v>7636</v>
      </c>
    </row>
    <row r="410" spans="1:6" x14ac:dyDescent="0.35">
      <c r="A410">
        <v>9</v>
      </c>
      <c r="B410" t="str">
        <f>CHOOSE(Table2[[#This Row],[Month]], "Jan","Feb","Mar","Apr","May","Jun","Jul","Aug","Sep","Oct","Nov","Dec")</f>
        <v>Sep</v>
      </c>
      <c r="C410" t="s">
        <v>41</v>
      </c>
      <c r="D410" t="s">
        <v>17</v>
      </c>
      <c r="E410">
        <v>4623</v>
      </c>
      <c r="F410">
        <v>651843</v>
      </c>
    </row>
    <row r="411" spans="1:6" x14ac:dyDescent="0.35">
      <c r="A411">
        <v>9</v>
      </c>
      <c r="B411" t="str">
        <f>CHOOSE(Table2[[#This Row],[Month]], "Jan","Feb","Mar","Apr","May","Jun","Jul","Aug","Sep","Oct","Nov","Dec")</f>
        <v>Sep</v>
      </c>
      <c r="C411" t="s">
        <v>43</v>
      </c>
      <c r="D411" t="s">
        <v>31</v>
      </c>
      <c r="E411">
        <v>3467</v>
      </c>
      <c r="F411">
        <v>357101</v>
      </c>
    </row>
    <row r="412" spans="1:6" x14ac:dyDescent="0.35">
      <c r="A412">
        <v>9</v>
      </c>
      <c r="B412" t="str">
        <f>CHOOSE(Table2[[#This Row],[Month]], "Jan","Feb","Mar","Apr","May","Jun","Jul","Aug","Sep","Oct","Nov","Dec")</f>
        <v>Sep</v>
      </c>
      <c r="C412" t="s">
        <v>45</v>
      </c>
      <c r="D412" t="s">
        <v>21</v>
      </c>
      <c r="E412">
        <v>2119</v>
      </c>
      <c r="F412">
        <v>65689</v>
      </c>
    </row>
    <row r="413" spans="1:6" x14ac:dyDescent="0.35">
      <c r="A413">
        <v>9</v>
      </c>
      <c r="B413" t="str">
        <f>CHOOSE(Table2[[#This Row],[Month]], "Jan","Feb","Mar","Apr","May","Jun","Jul","Aug","Sep","Oct","Nov","Dec")</f>
        <v>Sep</v>
      </c>
      <c r="C413" t="s">
        <v>47</v>
      </c>
      <c r="D413" t="s">
        <v>21</v>
      </c>
      <c r="E413">
        <v>4419</v>
      </c>
      <c r="F413">
        <v>375615</v>
      </c>
    </row>
    <row r="414" spans="1:6" x14ac:dyDescent="0.35">
      <c r="A414">
        <v>9</v>
      </c>
      <c r="B414" t="str">
        <f>CHOOSE(Table2[[#This Row],[Month]], "Jan","Feb","Mar","Apr","May","Jun","Jul","Aug","Sep","Oct","Nov","Dec")</f>
        <v>Sep</v>
      </c>
      <c r="C414" t="s">
        <v>49</v>
      </c>
      <c r="D414" t="s">
        <v>21</v>
      </c>
      <c r="E414">
        <v>1263</v>
      </c>
      <c r="F414">
        <v>79569</v>
      </c>
    </row>
    <row r="415" spans="1:6" x14ac:dyDescent="0.35">
      <c r="A415">
        <v>9</v>
      </c>
      <c r="B415" t="str">
        <f>CHOOSE(Table2[[#This Row],[Month]], "Jan","Feb","Mar","Apr","May","Jun","Jul","Aug","Sep","Oct","Nov","Dec")</f>
        <v>Sep</v>
      </c>
      <c r="C415" t="s">
        <v>51</v>
      </c>
      <c r="D415" t="s">
        <v>17</v>
      </c>
      <c r="E415">
        <v>1947</v>
      </c>
      <c r="F415">
        <v>146025</v>
      </c>
    </row>
    <row r="416" spans="1:6" x14ac:dyDescent="0.35">
      <c r="A416">
        <v>9</v>
      </c>
      <c r="B416" t="str">
        <f>CHOOSE(Table2[[#This Row],[Month]], "Jan","Feb","Mar","Apr","May","Jun","Jul","Aug","Sep","Oct","Nov","Dec")</f>
        <v>Sep</v>
      </c>
      <c r="C416" t="s">
        <v>53</v>
      </c>
      <c r="D416" t="s">
        <v>31</v>
      </c>
      <c r="E416">
        <v>1998</v>
      </c>
      <c r="F416">
        <v>223776</v>
      </c>
    </row>
    <row r="417" spans="1:6" x14ac:dyDescent="0.35">
      <c r="A417">
        <v>9</v>
      </c>
      <c r="B417" t="str">
        <f>CHOOSE(Table2[[#This Row],[Month]], "Jan","Feb","Mar","Apr","May","Jun","Jul","Aug","Sep","Oct","Nov","Dec")</f>
        <v>Sep</v>
      </c>
      <c r="C417" t="s">
        <v>55</v>
      </c>
      <c r="D417" t="s">
        <v>31</v>
      </c>
      <c r="E417">
        <v>3268</v>
      </c>
      <c r="F417">
        <v>238564</v>
      </c>
    </row>
    <row r="418" spans="1:6" x14ac:dyDescent="0.35">
      <c r="A418">
        <v>9</v>
      </c>
      <c r="B418" t="str">
        <f>CHOOSE(Table2[[#This Row],[Month]], "Jan","Feb","Mar","Apr","May","Jun","Jul","Aug","Sep","Oct","Nov","Dec")</f>
        <v>Sep</v>
      </c>
      <c r="C418" t="s">
        <v>57</v>
      </c>
      <c r="D418" t="s">
        <v>17</v>
      </c>
      <c r="E418">
        <v>1808</v>
      </c>
      <c r="F418">
        <v>39776</v>
      </c>
    </row>
    <row r="419" spans="1:6" x14ac:dyDescent="0.35">
      <c r="A419">
        <v>9</v>
      </c>
      <c r="B419" t="str">
        <f>CHOOSE(Table2[[#This Row],[Month]], "Jan","Feb","Mar","Apr","May","Jun","Jul","Aug","Sep","Oct","Nov","Dec")</f>
        <v>Sep</v>
      </c>
      <c r="C419" t="s">
        <v>59</v>
      </c>
      <c r="D419" t="s">
        <v>11</v>
      </c>
      <c r="E419">
        <v>2930</v>
      </c>
      <c r="F419">
        <v>99620</v>
      </c>
    </row>
    <row r="420" spans="1:6" x14ac:dyDescent="0.35">
      <c r="A420">
        <v>9</v>
      </c>
      <c r="B420" t="str">
        <f>CHOOSE(Table2[[#This Row],[Month]], "Jan","Feb","Mar","Apr","May","Jun","Jul","Aug","Sep","Oct","Nov","Dec")</f>
        <v>Sep</v>
      </c>
      <c r="C420" t="s">
        <v>61</v>
      </c>
      <c r="D420" t="s">
        <v>11</v>
      </c>
      <c r="E420">
        <v>1170</v>
      </c>
      <c r="F420">
        <v>113490</v>
      </c>
    </row>
    <row r="421" spans="1:6" x14ac:dyDescent="0.35">
      <c r="A421">
        <v>9</v>
      </c>
      <c r="B421" t="str">
        <f>CHOOSE(Table2[[#This Row],[Month]], "Jan","Feb","Mar","Apr","May","Jun","Jul","Aug","Sep","Oct","Nov","Dec")</f>
        <v>Sep</v>
      </c>
      <c r="C421" t="s">
        <v>63</v>
      </c>
      <c r="D421" t="s">
        <v>31</v>
      </c>
      <c r="E421">
        <v>4245</v>
      </c>
      <c r="F421">
        <v>182535</v>
      </c>
    </row>
    <row r="422" spans="1:6" x14ac:dyDescent="0.35">
      <c r="A422">
        <v>9</v>
      </c>
      <c r="B422" t="str">
        <f>CHOOSE(Table2[[#This Row],[Month]], "Jan","Feb","Mar","Apr","May","Jun","Jul","Aug","Sep","Oct","Nov","Dec")</f>
        <v>Sep</v>
      </c>
      <c r="C422" t="s">
        <v>65</v>
      </c>
      <c r="D422" t="s">
        <v>11</v>
      </c>
      <c r="E422">
        <v>3138</v>
      </c>
      <c r="F422">
        <v>357732</v>
      </c>
    </row>
    <row r="423" spans="1:6" x14ac:dyDescent="0.35">
      <c r="A423">
        <v>9</v>
      </c>
      <c r="B423" t="str">
        <f>CHOOSE(Table2[[#This Row],[Month]], "Jan","Feb","Mar","Apr","May","Jun","Jul","Aug","Sep","Oct","Nov","Dec")</f>
        <v>Sep</v>
      </c>
      <c r="C423" t="s">
        <v>67</v>
      </c>
      <c r="D423" t="s">
        <v>17</v>
      </c>
      <c r="E423">
        <v>3416</v>
      </c>
      <c r="F423">
        <v>406504</v>
      </c>
    </row>
    <row r="424" spans="1:6" x14ac:dyDescent="0.35">
      <c r="A424">
        <v>9</v>
      </c>
      <c r="B424" t="str">
        <f>CHOOSE(Table2[[#This Row],[Month]], "Jan","Feb","Mar","Apr","May","Jun","Jul","Aug","Sep","Oct","Nov","Dec")</f>
        <v>Sep</v>
      </c>
      <c r="C424" t="s">
        <v>69</v>
      </c>
      <c r="D424" t="s">
        <v>11</v>
      </c>
      <c r="E424">
        <v>1796</v>
      </c>
      <c r="F424">
        <v>181396</v>
      </c>
    </row>
    <row r="425" spans="1:6" x14ac:dyDescent="0.35">
      <c r="A425">
        <v>9</v>
      </c>
      <c r="B425" t="str">
        <f>CHOOSE(Table2[[#This Row],[Month]], "Jan","Feb","Mar","Apr","May","Jun","Jul","Aug","Sep","Oct","Nov","Dec")</f>
        <v>Sep</v>
      </c>
      <c r="C425" t="s">
        <v>71</v>
      </c>
      <c r="D425" t="s">
        <v>21</v>
      </c>
      <c r="E425">
        <v>1104</v>
      </c>
      <c r="F425">
        <v>35328</v>
      </c>
    </row>
    <row r="426" spans="1:6" x14ac:dyDescent="0.35">
      <c r="A426">
        <v>9</v>
      </c>
      <c r="B426" t="str">
        <f>CHOOSE(Table2[[#This Row],[Month]], "Jan","Feb","Mar","Apr","May","Jun","Jul","Aug","Sep","Oct","Nov","Dec")</f>
        <v>Sep</v>
      </c>
      <c r="C426" t="s">
        <v>73</v>
      </c>
      <c r="D426" t="s">
        <v>11</v>
      </c>
      <c r="E426">
        <v>1704</v>
      </c>
      <c r="F426">
        <v>136320</v>
      </c>
    </row>
    <row r="427" spans="1:6" x14ac:dyDescent="0.35">
      <c r="A427">
        <v>9</v>
      </c>
      <c r="B427" t="str">
        <f>CHOOSE(Table2[[#This Row],[Month]], "Jan","Feb","Mar","Apr","May","Jun","Jul","Aug","Sep","Oct","Nov","Dec")</f>
        <v>Sep</v>
      </c>
      <c r="C427" t="s">
        <v>75</v>
      </c>
      <c r="D427" t="s">
        <v>21</v>
      </c>
      <c r="E427">
        <v>3847</v>
      </c>
      <c r="F427">
        <v>84634</v>
      </c>
    </row>
    <row r="428" spans="1:6" x14ac:dyDescent="0.35">
      <c r="A428">
        <v>9</v>
      </c>
      <c r="B428" t="str">
        <f>CHOOSE(Table2[[#This Row],[Month]], "Jan","Feb","Mar","Apr","May","Jun","Jul","Aug","Sep","Oct","Nov","Dec")</f>
        <v>Sep</v>
      </c>
      <c r="C428" t="s">
        <v>77</v>
      </c>
      <c r="D428" t="s">
        <v>11</v>
      </c>
      <c r="E428">
        <v>1491</v>
      </c>
      <c r="F428">
        <v>144627</v>
      </c>
    </row>
    <row r="429" spans="1:6" x14ac:dyDescent="0.35">
      <c r="A429">
        <v>9</v>
      </c>
      <c r="B429" t="str">
        <f>CHOOSE(Table2[[#This Row],[Month]], "Jan","Feb","Mar","Apr","May","Jun","Jul","Aug","Sep","Oct","Nov","Dec")</f>
        <v>Sep</v>
      </c>
      <c r="C429" t="s">
        <v>79</v>
      </c>
      <c r="D429" t="s">
        <v>21</v>
      </c>
      <c r="E429">
        <v>2970</v>
      </c>
      <c r="F429">
        <v>433620</v>
      </c>
    </row>
    <row r="430" spans="1:6" x14ac:dyDescent="0.35">
      <c r="A430">
        <v>9</v>
      </c>
      <c r="B430" t="str">
        <f>CHOOSE(Table2[[#This Row],[Month]], "Jan","Feb","Mar","Apr","May","Jun","Jul","Aug","Sep","Oct","Nov","Dec")</f>
        <v>Sep</v>
      </c>
      <c r="C430" t="s">
        <v>81</v>
      </c>
      <c r="D430" t="s">
        <v>21</v>
      </c>
      <c r="E430">
        <v>3877</v>
      </c>
      <c r="F430">
        <v>554411</v>
      </c>
    </row>
    <row r="431" spans="1:6" x14ac:dyDescent="0.35">
      <c r="A431">
        <v>9</v>
      </c>
      <c r="B431" t="str">
        <f>CHOOSE(Table2[[#This Row],[Month]], "Jan","Feb","Mar","Apr","May","Jun","Jul","Aug","Sep","Oct","Nov","Dec")</f>
        <v>Sep</v>
      </c>
      <c r="C431" t="s">
        <v>83</v>
      </c>
      <c r="D431" t="s">
        <v>11</v>
      </c>
      <c r="E431">
        <v>4916</v>
      </c>
      <c r="F431">
        <v>147480</v>
      </c>
    </row>
    <row r="432" spans="1:6" x14ac:dyDescent="0.35">
      <c r="A432">
        <v>9</v>
      </c>
      <c r="B432" t="str">
        <f>CHOOSE(Table2[[#This Row],[Month]], "Jan","Feb","Mar","Apr","May","Jun","Jul","Aug","Sep","Oct","Nov","Dec")</f>
        <v>Sep</v>
      </c>
      <c r="C432" t="s">
        <v>85</v>
      </c>
      <c r="D432" t="s">
        <v>17</v>
      </c>
      <c r="E432">
        <v>127</v>
      </c>
      <c r="F432">
        <v>14478</v>
      </c>
    </row>
    <row r="433" spans="1:6" x14ac:dyDescent="0.35">
      <c r="A433">
        <v>9</v>
      </c>
      <c r="B433" t="str">
        <f>CHOOSE(Table2[[#This Row],[Month]], "Jan","Feb","Mar","Apr","May","Jun","Jul","Aug","Sep","Oct","Nov","Dec")</f>
        <v>Sep</v>
      </c>
      <c r="C433" t="s">
        <v>87</v>
      </c>
      <c r="D433" t="s">
        <v>31</v>
      </c>
      <c r="E433">
        <v>1434</v>
      </c>
      <c r="F433">
        <v>58794</v>
      </c>
    </row>
    <row r="434" spans="1:6" x14ac:dyDescent="0.35">
      <c r="A434">
        <v>9</v>
      </c>
      <c r="B434" t="str">
        <f>CHOOSE(Table2[[#This Row],[Month]], "Jan","Feb","Mar","Apr","May","Jun","Jul","Aug","Sep","Oct","Nov","Dec")</f>
        <v>Sep</v>
      </c>
      <c r="C434" t="s">
        <v>89</v>
      </c>
      <c r="D434" t="s">
        <v>31</v>
      </c>
      <c r="E434">
        <v>3062</v>
      </c>
      <c r="F434">
        <v>379688</v>
      </c>
    </row>
    <row r="435" spans="1:6" x14ac:dyDescent="0.35">
      <c r="A435">
        <v>9</v>
      </c>
      <c r="B435" t="str">
        <f>CHOOSE(Table2[[#This Row],[Month]], "Jan","Feb","Mar","Apr","May","Jun","Jul","Aug","Sep","Oct","Nov","Dec")</f>
        <v>Sep</v>
      </c>
      <c r="C435" t="s">
        <v>91</v>
      </c>
      <c r="D435" t="s">
        <v>17</v>
      </c>
      <c r="E435">
        <v>3874</v>
      </c>
      <c r="F435">
        <v>449384</v>
      </c>
    </row>
    <row r="436" spans="1:6" x14ac:dyDescent="0.35">
      <c r="A436">
        <v>9</v>
      </c>
      <c r="B436" t="str">
        <f>CHOOSE(Table2[[#This Row],[Month]], "Jan","Feb","Mar","Apr","May","Jun","Jul","Aug","Sep","Oct","Nov","Dec")</f>
        <v>Sep</v>
      </c>
      <c r="C436" t="s">
        <v>93</v>
      </c>
      <c r="D436" t="s">
        <v>11</v>
      </c>
      <c r="E436">
        <v>2684</v>
      </c>
      <c r="F436">
        <v>214720</v>
      </c>
    </row>
    <row r="437" spans="1:6" x14ac:dyDescent="0.35">
      <c r="A437">
        <v>9</v>
      </c>
      <c r="B437" t="str">
        <f>CHOOSE(Table2[[#This Row],[Month]], "Jan","Feb","Mar","Apr","May","Jun","Jul","Aug","Sep","Oct","Nov","Dec")</f>
        <v>Sep</v>
      </c>
      <c r="C437" t="s">
        <v>95</v>
      </c>
      <c r="D437" t="s">
        <v>21</v>
      </c>
      <c r="E437">
        <v>374</v>
      </c>
      <c r="F437">
        <v>26928</v>
      </c>
    </row>
    <row r="438" spans="1:6" x14ac:dyDescent="0.35">
      <c r="A438">
        <v>9</v>
      </c>
      <c r="B438" t="str">
        <f>CHOOSE(Table2[[#This Row],[Month]], "Jan","Feb","Mar","Apr","May","Jun","Jul","Aug","Sep","Oct","Nov","Dec")</f>
        <v>Sep</v>
      </c>
      <c r="C438" t="s">
        <v>97</v>
      </c>
      <c r="D438" t="s">
        <v>31</v>
      </c>
      <c r="E438">
        <v>342</v>
      </c>
      <c r="F438">
        <v>9234</v>
      </c>
    </row>
    <row r="439" spans="1:6" x14ac:dyDescent="0.35">
      <c r="A439">
        <v>9</v>
      </c>
      <c r="B439" t="str">
        <f>CHOOSE(Table2[[#This Row],[Month]], "Jan","Feb","Mar","Apr","May","Jun","Jul","Aug","Sep","Oct","Nov","Dec")</f>
        <v>Sep</v>
      </c>
      <c r="C439" t="s">
        <v>99</v>
      </c>
      <c r="D439" t="s">
        <v>31</v>
      </c>
      <c r="E439">
        <v>117</v>
      </c>
      <c r="F439">
        <v>8073</v>
      </c>
    </row>
    <row r="440" spans="1:6" x14ac:dyDescent="0.35">
      <c r="A440">
        <v>9</v>
      </c>
      <c r="B440" t="str">
        <f>CHOOSE(Table2[[#This Row],[Month]], "Jan","Feb","Mar","Apr","May","Jun","Jul","Aug","Sep","Oct","Nov","Dec")</f>
        <v>Sep</v>
      </c>
      <c r="C440" t="s">
        <v>101</v>
      </c>
      <c r="D440" t="s">
        <v>31</v>
      </c>
      <c r="E440">
        <v>3784</v>
      </c>
      <c r="F440">
        <v>223256</v>
      </c>
    </row>
    <row r="441" spans="1:6" x14ac:dyDescent="0.35">
      <c r="A441">
        <v>9</v>
      </c>
      <c r="B441" t="str">
        <f>CHOOSE(Table2[[#This Row],[Month]], "Jan","Feb","Mar","Apr","May","Jun","Jul","Aug","Sep","Oct","Nov","Dec")</f>
        <v>Sep</v>
      </c>
      <c r="C441" t="s">
        <v>103</v>
      </c>
      <c r="D441" t="s">
        <v>17</v>
      </c>
      <c r="E441">
        <v>1878</v>
      </c>
      <c r="F441">
        <v>232872</v>
      </c>
    </row>
    <row r="442" spans="1:6" x14ac:dyDescent="0.35">
      <c r="A442">
        <v>9</v>
      </c>
      <c r="B442" t="str">
        <f>CHOOSE(Table2[[#This Row],[Month]], "Jan","Feb","Mar","Apr","May","Jun","Jul","Aug","Sep","Oct","Nov","Dec")</f>
        <v>Sep</v>
      </c>
      <c r="C442" t="s">
        <v>105</v>
      </c>
      <c r="D442" t="s">
        <v>31</v>
      </c>
      <c r="E442">
        <v>2875</v>
      </c>
      <c r="F442">
        <v>324875</v>
      </c>
    </row>
    <row r="443" spans="1:6" x14ac:dyDescent="0.35">
      <c r="A443">
        <v>9</v>
      </c>
      <c r="B443" t="str">
        <f>CHOOSE(Table2[[#This Row],[Month]], "Jan","Feb","Mar","Apr","May","Jun","Jul","Aug","Sep","Oct","Nov","Dec")</f>
        <v>Sep</v>
      </c>
      <c r="C443" t="s">
        <v>107</v>
      </c>
      <c r="D443" t="s">
        <v>17</v>
      </c>
      <c r="E443">
        <v>4941</v>
      </c>
      <c r="F443">
        <v>538569</v>
      </c>
    </row>
    <row r="444" spans="1:6" x14ac:dyDescent="0.35">
      <c r="A444">
        <v>9</v>
      </c>
      <c r="B444" t="str">
        <f>CHOOSE(Table2[[#This Row],[Month]], "Jan","Feb","Mar","Apr","May","Jun","Jul","Aug","Sep","Oct","Nov","Dec")</f>
        <v>Sep</v>
      </c>
      <c r="C444" t="s">
        <v>109</v>
      </c>
      <c r="D444" t="s">
        <v>17</v>
      </c>
      <c r="E444">
        <v>1145</v>
      </c>
      <c r="F444">
        <v>92745</v>
      </c>
    </row>
    <row r="445" spans="1:6" x14ac:dyDescent="0.35">
      <c r="A445">
        <v>9</v>
      </c>
      <c r="B445" t="str">
        <f>CHOOSE(Table2[[#This Row],[Month]], "Jan","Feb","Mar","Apr","May","Jun","Jul","Aug","Sep","Oct","Nov","Dec")</f>
        <v>Sep</v>
      </c>
      <c r="C445" t="s">
        <v>111</v>
      </c>
      <c r="D445" t="s">
        <v>11</v>
      </c>
      <c r="E445">
        <v>2072</v>
      </c>
      <c r="F445">
        <v>161616</v>
      </c>
    </row>
    <row r="446" spans="1:6" x14ac:dyDescent="0.35">
      <c r="A446">
        <v>9</v>
      </c>
      <c r="B446" t="str">
        <f>CHOOSE(Table2[[#This Row],[Month]], "Jan","Feb","Mar","Apr","May","Jun","Jul","Aug","Sep","Oct","Nov","Dec")</f>
        <v>Sep</v>
      </c>
      <c r="C446" t="s">
        <v>113</v>
      </c>
      <c r="D446" t="s">
        <v>31</v>
      </c>
      <c r="E446">
        <v>2321</v>
      </c>
      <c r="F446">
        <v>192643</v>
      </c>
    </row>
    <row r="447" spans="1:6" x14ac:dyDescent="0.35">
      <c r="A447">
        <v>9</v>
      </c>
      <c r="B447" t="str">
        <f>CHOOSE(Table2[[#This Row],[Month]], "Jan","Feb","Mar","Apr","May","Jun","Jul","Aug","Sep","Oct","Nov","Dec")</f>
        <v>Sep</v>
      </c>
      <c r="C447" t="s">
        <v>115</v>
      </c>
      <c r="D447" t="s">
        <v>17</v>
      </c>
      <c r="E447">
        <v>1331</v>
      </c>
      <c r="F447">
        <v>39930</v>
      </c>
    </row>
    <row r="448" spans="1:6" x14ac:dyDescent="0.35">
      <c r="A448">
        <v>9</v>
      </c>
      <c r="B448" t="str">
        <f>CHOOSE(Table2[[#This Row],[Month]], "Jan","Feb","Mar","Apr","May","Jun","Jul","Aug","Sep","Oct","Nov","Dec")</f>
        <v>Sep</v>
      </c>
      <c r="C448" t="s">
        <v>117</v>
      </c>
      <c r="D448" t="s">
        <v>21</v>
      </c>
      <c r="E448">
        <v>131</v>
      </c>
      <c r="F448">
        <v>8646</v>
      </c>
    </row>
    <row r="449" spans="1:6" x14ac:dyDescent="0.35">
      <c r="A449">
        <v>9</v>
      </c>
      <c r="B449" t="str">
        <f>CHOOSE(Table2[[#This Row],[Month]], "Jan","Feb","Mar","Apr","May","Jun","Jul","Aug","Sep","Oct","Nov","Dec")</f>
        <v>Sep</v>
      </c>
      <c r="C449" t="s">
        <v>119</v>
      </c>
      <c r="D449" t="s">
        <v>17</v>
      </c>
      <c r="E449">
        <v>1377</v>
      </c>
      <c r="F449">
        <v>162486</v>
      </c>
    </row>
    <row r="450" spans="1:6" x14ac:dyDescent="0.35">
      <c r="A450">
        <v>9</v>
      </c>
      <c r="B450" t="str">
        <f>CHOOSE(Table2[[#This Row],[Month]], "Jan","Feb","Mar","Apr","May","Jun","Jul","Aug","Sep","Oct","Nov","Dec")</f>
        <v>Sep</v>
      </c>
      <c r="C450" t="s">
        <v>121</v>
      </c>
      <c r="D450" t="s">
        <v>31</v>
      </c>
      <c r="E450">
        <v>2155</v>
      </c>
      <c r="F450">
        <v>127145</v>
      </c>
    </row>
    <row r="451" spans="1:6" x14ac:dyDescent="0.35">
      <c r="A451">
        <v>9</v>
      </c>
      <c r="B451" t="str">
        <f>CHOOSE(Table2[[#This Row],[Month]], "Jan","Feb","Mar","Apr","May","Jun","Jul","Aug","Sep","Oct","Nov","Dec")</f>
        <v>Sep</v>
      </c>
      <c r="C451" t="s">
        <v>123</v>
      </c>
      <c r="D451" t="s">
        <v>21</v>
      </c>
      <c r="E451">
        <v>4012</v>
      </c>
      <c r="F451">
        <v>421260</v>
      </c>
    </row>
    <row r="452" spans="1:6" x14ac:dyDescent="0.35">
      <c r="A452">
        <v>10</v>
      </c>
      <c r="B452" t="str">
        <f>CHOOSE(Table2[[#This Row],[Month]], "Jan","Feb","Mar","Apr","May","Jun","Jul","Aug","Sep","Oct","Nov","Dec")</f>
        <v>Oct</v>
      </c>
      <c r="C452" t="s">
        <v>8</v>
      </c>
      <c r="D452" t="s">
        <v>31</v>
      </c>
      <c r="E452">
        <v>1783</v>
      </c>
      <c r="F452">
        <v>94499</v>
      </c>
    </row>
    <row r="453" spans="1:6" x14ac:dyDescent="0.35">
      <c r="A453">
        <v>10</v>
      </c>
      <c r="B453" t="str">
        <f>CHOOSE(Table2[[#This Row],[Month]], "Jan","Feb","Mar","Apr","May","Jun","Jul","Aug","Sep","Oct","Nov","Dec")</f>
        <v>Oct</v>
      </c>
      <c r="C453" t="s">
        <v>15</v>
      </c>
      <c r="D453" t="s">
        <v>11</v>
      </c>
      <c r="E453">
        <v>865</v>
      </c>
      <c r="F453">
        <v>91690</v>
      </c>
    </row>
    <row r="454" spans="1:6" x14ac:dyDescent="0.35">
      <c r="A454">
        <v>10</v>
      </c>
      <c r="B454" t="str">
        <f>CHOOSE(Table2[[#This Row],[Month]], "Jan","Feb","Mar","Apr","May","Jun","Jul","Aug","Sep","Oct","Nov","Dec")</f>
        <v>Oct</v>
      </c>
      <c r="C454" t="s">
        <v>19</v>
      </c>
      <c r="D454" t="s">
        <v>31</v>
      </c>
      <c r="E454">
        <v>146</v>
      </c>
      <c r="F454">
        <v>3650</v>
      </c>
    </row>
    <row r="455" spans="1:6" x14ac:dyDescent="0.35">
      <c r="A455">
        <v>10</v>
      </c>
      <c r="B455" t="str">
        <f>CHOOSE(Table2[[#This Row],[Month]], "Jan","Feb","Mar","Apr","May","Jun","Jul","Aug","Sep","Oct","Nov","Dec")</f>
        <v>Oct</v>
      </c>
      <c r="C455" t="s">
        <v>24</v>
      </c>
      <c r="D455" t="s">
        <v>21</v>
      </c>
      <c r="E455">
        <v>4301</v>
      </c>
      <c r="F455">
        <v>593538</v>
      </c>
    </row>
    <row r="456" spans="1:6" x14ac:dyDescent="0.35">
      <c r="A456">
        <v>10</v>
      </c>
      <c r="B456" t="str">
        <f>CHOOSE(Table2[[#This Row],[Month]], "Jan","Feb","Mar","Apr","May","Jun","Jul","Aug","Sep","Oct","Nov","Dec")</f>
        <v>Oct</v>
      </c>
      <c r="C456" t="s">
        <v>28</v>
      </c>
      <c r="D456" t="s">
        <v>21</v>
      </c>
      <c r="E456">
        <v>1907</v>
      </c>
      <c r="F456">
        <v>167816</v>
      </c>
    </row>
    <row r="457" spans="1:6" x14ac:dyDescent="0.35">
      <c r="A457">
        <v>10</v>
      </c>
      <c r="B457" t="str">
        <f>CHOOSE(Table2[[#This Row],[Month]], "Jan","Feb","Mar","Apr","May","Jun","Jul","Aug","Sep","Oct","Nov","Dec")</f>
        <v>Oct</v>
      </c>
      <c r="C457" t="s">
        <v>33</v>
      </c>
      <c r="D457" t="s">
        <v>31</v>
      </c>
      <c r="E457">
        <v>3496</v>
      </c>
      <c r="F457">
        <v>496432</v>
      </c>
    </row>
    <row r="458" spans="1:6" x14ac:dyDescent="0.35">
      <c r="A458">
        <v>10</v>
      </c>
      <c r="B458" t="str">
        <f>CHOOSE(Table2[[#This Row],[Month]], "Jan","Feb","Mar","Apr","May","Jun","Jul","Aug","Sep","Oct","Nov","Dec")</f>
        <v>Oct</v>
      </c>
      <c r="C458" t="s">
        <v>36</v>
      </c>
      <c r="D458" t="s">
        <v>11</v>
      </c>
      <c r="E458">
        <v>137</v>
      </c>
      <c r="F458">
        <v>15755</v>
      </c>
    </row>
    <row r="459" spans="1:6" x14ac:dyDescent="0.35">
      <c r="A459">
        <v>10</v>
      </c>
      <c r="B459" t="str">
        <f>CHOOSE(Table2[[#This Row],[Month]], "Jan","Feb","Mar","Apr","May","Jun","Jul","Aug","Sep","Oct","Nov","Dec")</f>
        <v>Oct</v>
      </c>
      <c r="C459" t="s">
        <v>39</v>
      </c>
      <c r="D459" t="s">
        <v>17</v>
      </c>
      <c r="E459">
        <v>674</v>
      </c>
      <c r="F459">
        <v>65378</v>
      </c>
    </row>
    <row r="460" spans="1:6" x14ac:dyDescent="0.35">
      <c r="A460">
        <v>10</v>
      </c>
      <c r="B460" t="str">
        <f>CHOOSE(Table2[[#This Row],[Month]], "Jan","Feb","Mar","Apr","May","Jun","Jul","Aug","Sep","Oct","Nov","Dec")</f>
        <v>Oct</v>
      </c>
      <c r="C460" t="s">
        <v>41</v>
      </c>
      <c r="D460" t="s">
        <v>21</v>
      </c>
      <c r="E460">
        <v>3612</v>
      </c>
      <c r="F460">
        <v>520128</v>
      </c>
    </row>
    <row r="461" spans="1:6" x14ac:dyDescent="0.35">
      <c r="A461">
        <v>10</v>
      </c>
      <c r="B461" t="str">
        <f>CHOOSE(Table2[[#This Row],[Month]], "Jan","Feb","Mar","Apr","May","Jun","Jul","Aug","Sep","Oct","Nov","Dec")</f>
        <v>Oct</v>
      </c>
      <c r="C461" t="s">
        <v>43</v>
      </c>
      <c r="D461" t="s">
        <v>21</v>
      </c>
      <c r="E461">
        <v>497</v>
      </c>
      <c r="F461">
        <v>63616</v>
      </c>
    </row>
    <row r="462" spans="1:6" x14ac:dyDescent="0.35">
      <c r="A462">
        <v>10</v>
      </c>
      <c r="B462" t="str">
        <f>CHOOSE(Table2[[#This Row],[Month]], "Jan","Feb","Mar","Apr","May","Jun","Jul","Aug","Sep","Oct","Nov","Dec")</f>
        <v>Oct</v>
      </c>
      <c r="C462" t="s">
        <v>45</v>
      </c>
      <c r="D462" t="s">
        <v>21</v>
      </c>
      <c r="E462">
        <v>2853</v>
      </c>
      <c r="F462">
        <v>236799</v>
      </c>
    </row>
    <row r="463" spans="1:6" x14ac:dyDescent="0.35">
      <c r="A463">
        <v>10</v>
      </c>
      <c r="B463" t="str">
        <f>CHOOSE(Table2[[#This Row],[Month]], "Jan","Feb","Mar","Apr","May","Jun","Jul","Aug","Sep","Oct","Nov","Dec")</f>
        <v>Oct</v>
      </c>
      <c r="C463" t="s">
        <v>47</v>
      </c>
      <c r="D463" t="s">
        <v>31</v>
      </c>
      <c r="E463">
        <v>2018</v>
      </c>
      <c r="F463">
        <v>272430</v>
      </c>
    </row>
    <row r="464" spans="1:6" x14ac:dyDescent="0.35">
      <c r="A464">
        <v>10</v>
      </c>
      <c r="B464" t="str">
        <f>CHOOSE(Table2[[#This Row],[Month]], "Jan","Feb","Mar","Apr","May","Jun","Jul","Aug","Sep","Oct","Nov","Dec")</f>
        <v>Oct</v>
      </c>
      <c r="C464" t="s">
        <v>49</v>
      </c>
      <c r="D464" t="s">
        <v>17</v>
      </c>
      <c r="E464">
        <v>1630</v>
      </c>
      <c r="F464">
        <v>68460</v>
      </c>
    </row>
    <row r="465" spans="1:6" x14ac:dyDescent="0.35">
      <c r="A465">
        <v>10</v>
      </c>
      <c r="B465" t="str">
        <f>CHOOSE(Table2[[#This Row],[Month]], "Jan","Feb","Mar","Apr","May","Jun","Jul","Aug","Sep","Oct","Nov","Dec")</f>
        <v>Oct</v>
      </c>
      <c r="C465" t="s">
        <v>51</v>
      </c>
      <c r="D465" t="s">
        <v>11</v>
      </c>
      <c r="E465">
        <v>1151</v>
      </c>
      <c r="F465">
        <v>131214</v>
      </c>
    </row>
    <row r="466" spans="1:6" x14ac:dyDescent="0.35">
      <c r="A466">
        <v>10</v>
      </c>
      <c r="B466" t="str">
        <f>CHOOSE(Table2[[#This Row],[Month]], "Jan","Feb","Mar","Apr","May","Jun","Jul","Aug","Sep","Oct","Nov","Dec")</f>
        <v>Oct</v>
      </c>
      <c r="C466" t="s">
        <v>53</v>
      </c>
      <c r="D466" t="s">
        <v>21</v>
      </c>
      <c r="E466">
        <v>263</v>
      </c>
      <c r="F466">
        <v>24722</v>
      </c>
    </row>
    <row r="467" spans="1:6" x14ac:dyDescent="0.35">
      <c r="A467">
        <v>10</v>
      </c>
      <c r="B467" t="str">
        <f>CHOOSE(Table2[[#This Row],[Month]], "Jan","Feb","Mar","Apr","May","Jun","Jul","Aug","Sep","Oct","Nov","Dec")</f>
        <v>Oct</v>
      </c>
      <c r="C467" t="s">
        <v>55</v>
      </c>
      <c r="D467" t="s">
        <v>17</v>
      </c>
      <c r="E467">
        <v>1465</v>
      </c>
      <c r="F467">
        <v>30765</v>
      </c>
    </row>
    <row r="468" spans="1:6" x14ac:dyDescent="0.35">
      <c r="A468">
        <v>10</v>
      </c>
      <c r="B468" t="str">
        <f>CHOOSE(Table2[[#This Row],[Month]], "Jan","Feb","Mar","Apr","May","Jun","Jul","Aug","Sep","Oct","Nov","Dec")</f>
        <v>Oct</v>
      </c>
      <c r="C468" t="s">
        <v>57</v>
      </c>
      <c r="D468" t="s">
        <v>31</v>
      </c>
      <c r="E468">
        <v>1104</v>
      </c>
      <c r="F468">
        <v>160080</v>
      </c>
    </row>
    <row r="469" spans="1:6" x14ac:dyDescent="0.35">
      <c r="A469">
        <v>10</v>
      </c>
      <c r="B469" t="str">
        <f>CHOOSE(Table2[[#This Row],[Month]], "Jan","Feb","Mar","Apr","May","Jun","Jul","Aug","Sep","Oct","Nov","Dec")</f>
        <v>Oct</v>
      </c>
      <c r="C469" t="s">
        <v>59</v>
      </c>
      <c r="D469" t="s">
        <v>31</v>
      </c>
      <c r="E469">
        <v>611</v>
      </c>
      <c r="F469">
        <v>26884</v>
      </c>
    </row>
    <row r="470" spans="1:6" x14ac:dyDescent="0.35">
      <c r="A470">
        <v>10</v>
      </c>
      <c r="B470" t="str">
        <f>CHOOSE(Table2[[#This Row],[Month]], "Jan","Feb","Mar","Apr","May","Jun","Jul","Aug","Sep","Oct","Nov","Dec")</f>
        <v>Oct</v>
      </c>
      <c r="C470" t="s">
        <v>61</v>
      </c>
      <c r="D470" t="s">
        <v>21</v>
      </c>
      <c r="E470">
        <v>3840</v>
      </c>
      <c r="F470">
        <v>345600</v>
      </c>
    </row>
    <row r="471" spans="1:6" x14ac:dyDescent="0.35">
      <c r="A471">
        <v>10</v>
      </c>
      <c r="B471" t="str">
        <f>CHOOSE(Table2[[#This Row],[Month]], "Jan","Feb","Mar","Apr","May","Jun","Jul","Aug","Sep","Oct","Nov","Dec")</f>
        <v>Oct</v>
      </c>
      <c r="C471" t="s">
        <v>63</v>
      </c>
      <c r="D471" t="s">
        <v>21</v>
      </c>
      <c r="E471">
        <v>311</v>
      </c>
      <c r="F471">
        <v>7153</v>
      </c>
    </row>
    <row r="472" spans="1:6" x14ac:dyDescent="0.35">
      <c r="A472">
        <v>10</v>
      </c>
      <c r="B472" t="str">
        <f>CHOOSE(Table2[[#This Row],[Month]], "Jan","Feb","Mar","Apr","May","Jun","Jul","Aug","Sep","Oct","Nov","Dec")</f>
        <v>Oct</v>
      </c>
      <c r="C472" t="s">
        <v>65</v>
      </c>
      <c r="D472" t="s">
        <v>17</v>
      </c>
      <c r="E472">
        <v>2889</v>
      </c>
      <c r="F472">
        <v>156006</v>
      </c>
    </row>
    <row r="473" spans="1:6" x14ac:dyDescent="0.35">
      <c r="A473">
        <v>10</v>
      </c>
      <c r="B473" t="str">
        <f>CHOOSE(Table2[[#This Row],[Month]], "Jan","Feb","Mar","Apr","May","Jun","Jul","Aug","Sep","Oct","Nov","Dec")</f>
        <v>Oct</v>
      </c>
      <c r="C473" t="s">
        <v>67</v>
      </c>
      <c r="D473" t="s">
        <v>31</v>
      </c>
      <c r="E473">
        <v>2982</v>
      </c>
      <c r="F473">
        <v>408534</v>
      </c>
    </row>
    <row r="474" spans="1:6" x14ac:dyDescent="0.35">
      <c r="A474">
        <v>10</v>
      </c>
      <c r="B474" t="str">
        <f>CHOOSE(Table2[[#This Row],[Month]], "Jan","Feb","Mar","Apr","May","Jun","Jul","Aug","Sep","Oct","Nov","Dec")</f>
        <v>Oct</v>
      </c>
      <c r="C474" t="s">
        <v>69</v>
      </c>
      <c r="D474" t="s">
        <v>17</v>
      </c>
      <c r="E474">
        <v>4612</v>
      </c>
      <c r="F474">
        <v>382796</v>
      </c>
    </row>
    <row r="475" spans="1:6" x14ac:dyDescent="0.35">
      <c r="A475">
        <v>10</v>
      </c>
      <c r="B475" t="str">
        <f>CHOOSE(Table2[[#This Row],[Month]], "Jan","Feb","Mar","Apr","May","Jun","Jul","Aug","Sep","Oct","Nov","Dec")</f>
        <v>Oct</v>
      </c>
      <c r="C475" t="s">
        <v>71</v>
      </c>
      <c r="D475" t="s">
        <v>17</v>
      </c>
      <c r="E475">
        <v>1922</v>
      </c>
      <c r="F475">
        <v>153760</v>
      </c>
    </row>
    <row r="476" spans="1:6" x14ac:dyDescent="0.35">
      <c r="A476">
        <v>10</v>
      </c>
      <c r="B476" t="str">
        <f>CHOOSE(Table2[[#This Row],[Month]], "Jan","Feb","Mar","Apr","May","Jun","Jul","Aug","Sep","Oct","Nov","Dec")</f>
        <v>Oct</v>
      </c>
      <c r="C476" t="s">
        <v>73</v>
      </c>
      <c r="D476" t="s">
        <v>17</v>
      </c>
      <c r="E476">
        <v>4601</v>
      </c>
      <c r="F476">
        <v>533716</v>
      </c>
    </row>
    <row r="477" spans="1:6" x14ac:dyDescent="0.35">
      <c r="A477">
        <v>10</v>
      </c>
      <c r="B477" t="str">
        <f>CHOOSE(Table2[[#This Row],[Month]], "Jan","Feb","Mar","Apr","May","Jun","Jul","Aug","Sep","Oct","Nov","Dec")</f>
        <v>Oct</v>
      </c>
      <c r="C477" t="s">
        <v>75</v>
      </c>
      <c r="D477" t="s">
        <v>31</v>
      </c>
      <c r="E477">
        <v>2916</v>
      </c>
      <c r="F477">
        <v>163296</v>
      </c>
    </row>
    <row r="478" spans="1:6" x14ac:dyDescent="0.35">
      <c r="A478">
        <v>10</v>
      </c>
      <c r="B478" t="str">
        <f>CHOOSE(Table2[[#This Row],[Month]], "Jan","Feb","Mar","Apr","May","Jun","Jul","Aug","Sep","Oct","Nov","Dec")</f>
        <v>Oct</v>
      </c>
      <c r="C478" t="s">
        <v>77</v>
      </c>
      <c r="D478" t="s">
        <v>31</v>
      </c>
      <c r="E478">
        <v>1255</v>
      </c>
      <c r="F478">
        <v>71535</v>
      </c>
    </row>
    <row r="479" spans="1:6" x14ac:dyDescent="0.35">
      <c r="A479">
        <v>10</v>
      </c>
      <c r="B479" t="str">
        <f>CHOOSE(Table2[[#This Row],[Month]], "Jan","Feb","Mar","Apr","May","Jun","Jul","Aug","Sep","Oct","Nov","Dec")</f>
        <v>Oct</v>
      </c>
      <c r="C479" t="s">
        <v>79</v>
      </c>
      <c r="D479" t="s">
        <v>11</v>
      </c>
      <c r="E479">
        <v>2200</v>
      </c>
      <c r="F479">
        <v>204600</v>
      </c>
    </row>
    <row r="480" spans="1:6" x14ac:dyDescent="0.35">
      <c r="A480">
        <v>10</v>
      </c>
      <c r="B480" t="str">
        <f>CHOOSE(Table2[[#This Row],[Month]], "Jan","Feb","Mar","Apr","May","Jun","Jul","Aug","Sep","Oct","Nov","Dec")</f>
        <v>Oct</v>
      </c>
      <c r="C480" t="s">
        <v>81</v>
      </c>
      <c r="D480" t="s">
        <v>11</v>
      </c>
      <c r="E480">
        <v>462</v>
      </c>
      <c r="F480">
        <v>37422</v>
      </c>
    </row>
    <row r="481" spans="1:6" x14ac:dyDescent="0.35">
      <c r="A481">
        <v>10</v>
      </c>
      <c r="B481" t="str">
        <f>CHOOSE(Table2[[#This Row],[Month]], "Jan","Feb","Mar","Apr","May","Jun","Jul","Aug","Sep","Oct","Nov","Dec")</f>
        <v>Oct</v>
      </c>
      <c r="C481" t="s">
        <v>83</v>
      </c>
      <c r="D481" t="s">
        <v>31</v>
      </c>
      <c r="E481">
        <v>3430</v>
      </c>
      <c r="F481">
        <v>336140</v>
      </c>
    </row>
    <row r="482" spans="1:6" x14ac:dyDescent="0.35">
      <c r="A482">
        <v>10</v>
      </c>
      <c r="B482" t="str">
        <f>CHOOSE(Table2[[#This Row],[Month]], "Jan","Feb","Mar","Apr","May","Jun","Jul","Aug","Sep","Oct","Nov","Dec")</f>
        <v>Oct</v>
      </c>
      <c r="C482" t="s">
        <v>85</v>
      </c>
      <c r="D482" t="s">
        <v>11</v>
      </c>
      <c r="E482">
        <v>428</v>
      </c>
      <c r="F482">
        <v>38092</v>
      </c>
    </row>
    <row r="483" spans="1:6" x14ac:dyDescent="0.35">
      <c r="A483">
        <v>10</v>
      </c>
      <c r="B483" t="str">
        <f>CHOOSE(Table2[[#This Row],[Month]], "Jan","Feb","Mar","Apr","May","Jun","Jul","Aug","Sep","Oct","Nov","Dec")</f>
        <v>Oct</v>
      </c>
      <c r="C483" t="s">
        <v>87</v>
      </c>
      <c r="D483" t="s">
        <v>31</v>
      </c>
      <c r="E483">
        <v>3761</v>
      </c>
      <c r="F483">
        <v>116591</v>
      </c>
    </row>
    <row r="484" spans="1:6" x14ac:dyDescent="0.35">
      <c r="A484">
        <v>10</v>
      </c>
      <c r="B484" t="str">
        <f>CHOOSE(Table2[[#This Row],[Month]], "Jan","Feb","Mar","Apr","May","Jun","Jul","Aug","Sep","Oct","Nov","Dec")</f>
        <v>Oct</v>
      </c>
      <c r="C484" t="s">
        <v>89</v>
      </c>
      <c r="D484" t="s">
        <v>21</v>
      </c>
      <c r="E484">
        <v>530</v>
      </c>
      <c r="F484">
        <v>78970</v>
      </c>
    </row>
    <row r="485" spans="1:6" x14ac:dyDescent="0.35">
      <c r="A485">
        <v>10</v>
      </c>
      <c r="B485" t="str">
        <f>CHOOSE(Table2[[#This Row],[Month]], "Jan","Feb","Mar","Apr","May","Jun","Jul","Aug","Sep","Oct","Nov","Dec")</f>
        <v>Oct</v>
      </c>
      <c r="C485" t="s">
        <v>91</v>
      </c>
      <c r="D485" t="s">
        <v>11</v>
      </c>
      <c r="E485">
        <v>3373</v>
      </c>
      <c r="F485">
        <v>350792</v>
      </c>
    </row>
    <row r="486" spans="1:6" x14ac:dyDescent="0.35">
      <c r="A486">
        <v>10</v>
      </c>
      <c r="B486" t="str">
        <f>CHOOSE(Table2[[#This Row],[Month]], "Jan","Feb","Mar","Apr","May","Jun","Jul","Aug","Sep","Oct","Nov","Dec")</f>
        <v>Oct</v>
      </c>
      <c r="C486" t="s">
        <v>93</v>
      </c>
      <c r="D486" t="s">
        <v>17</v>
      </c>
      <c r="E486">
        <v>4467</v>
      </c>
      <c r="F486">
        <v>254619</v>
      </c>
    </row>
    <row r="487" spans="1:6" x14ac:dyDescent="0.35">
      <c r="A487">
        <v>10</v>
      </c>
      <c r="B487" t="str">
        <f>CHOOSE(Table2[[#This Row],[Month]], "Jan","Feb","Mar","Apr","May","Jun","Jul","Aug","Sep","Oct","Nov","Dec")</f>
        <v>Oct</v>
      </c>
      <c r="C487" t="s">
        <v>95</v>
      </c>
      <c r="D487" t="s">
        <v>17</v>
      </c>
      <c r="E487">
        <v>4010</v>
      </c>
      <c r="F487">
        <v>388970</v>
      </c>
    </row>
    <row r="488" spans="1:6" x14ac:dyDescent="0.35">
      <c r="A488">
        <v>10</v>
      </c>
      <c r="B488" t="str">
        <f>CHOOSE(Table2[[#This Row],[Month]], "Jan","Feb","Mar","Apr","May","Jun","Jul","Aug","Sep","Oct","Nov","Dec")</f>
        <v>Oct</v>
      </c>
      <c r="C488" t="s">
        <v>97</v>
      </c>
      <c r="D488" t="s">
        <v>31</v>
      </c>
      <c r="E488">
        <v>2535</v>
      </c>
      <c r="F488">
        <v>225615</v>
      </c>
    </row>
    <row r="489" spans="1:6" x14ac:dyDescent="0.35">
      <c r="A489">
        <v>10</v>
      </c>
      <c r="B489" t="str">
        <f>CHOOSE(Table2[[#This Row],[Month]], "Jan","Feb","Mar","Apr","May","Jun","Jul","Aug","Sep","Oct","Nov","Dec")</f>
        <v>Oct</v>
      </c>
      <c r="C489" t="s">
        <v>99</v>
      </c>
      <c r="D489" t="s">
        <v>17</v>
      </c>
      <c r="E489">
        <v>1789</v>
      </c>
      <c r="F489">
        <v>245093</v>
      </c>
    </row>
    <row r="490" spans="1:6" x14ac:dyDescent="0.35">
      <c r="A490">
        <v>10</v>
      </c>
      <c r="B490" t="str">
        <f>CHOOSE(Table2[[#This Row],[Month]], "Jan","Feb","Mar","Apr","May","Jun","Jul","Aug","Sep","Oct","Nov","Dec")</f>
        <v>Oct</v>
      </c>
      <c r="C490" t="s">
        <v>101</v>
      </c>
      <c r="D490" t="s">
        <v>21</v>
      </c>
      <c r="E490">
        <v>3115</v>
      </c>
      <c r="F490">
        <v>174440</v>
      </c>
    </row>
    <row r="491" spans="1:6" x14ac:dyDescent="0.35">
      <c r="A491">
        <v>10</v>
      </c>
      <c r="B491" t="str">
        <f>CHOOSE(Table2[[#This Row],[Month]], "Jan","Feb","Mar","Apr","May","Jun","Jul","Aug","Sep","Oct","Nov","Dec")</f>
        <v>Oct</v>
      </c>
      <c r="C491" t="s">
        <v>103</v>
      </c>
      <c r="D491" t="s">
        <v>31</v>
      </c>
      <c r="E491">
        <v>720</v>
      </c>
      <c r="F491">
        <v>83520</v>
      </c>
    </row>
    <row r="492" spans="1:6" x14ac:dyDescent="0.35">
      <c r="A492">
        <v>10</v>
      </c>
      <c r="B492" t="str">
        <f>CHOOSE(Table2[[#This Row],[Month]], "Jan","Feb","Mar","Apr","May","Jun","Jul","Aug","Sep","Oct","Nov","Dec")</f>
        <v>Oct</v>
      </c>
      <c r="C492" t="s">
        <v>105</v>
      </c>
      <c r="D492" t="s">
        <v>11</v>
      </c>
      <c r="E492">
        <v>4136</v>
      </c>
      <c r="F492">
        <v>119944</v>
      </c>
    </row>
    <row r="493" spans="1:6" x14ac:dyDescent="0.35">
      <c r="A493">
        <v>10</v>
      </c>
      <c r="B493" t="str">
        <f>CHOOSE(Table2[[#This Row],[Month]], "Jan","Feb","Mar","Apr","May","Jun","Jul","Aug","Sep","Oct","Nov","Dec")</f>
        <v>Oct</v>
      </c>
      <c r="C493" t="s">
        <v>107</v>
      </c>
      <c r="D493" t="s">
        <v>31</v>
      </c>
      <c r="E493">
        <v>2025</v>
      </c>
      <c r="F493">
        <v>226800</v>
      </c>
    </row>
    <row r="494" spans="1:6" x14ac:dyDescent="0.35">
      <c r="A494">
        <v>10</v>
      </c>
      <c r="B494" t="str">
        <f>CHOOSE(Table2[[#This Row],[Month]], "Jan","Feb","Mar","Apr","May","Jun","Jul","Aug","Sep","Oct","Nov","Dec")</f>
        <v>Oct</v>
      </c>
      <c r="C494" t="s">
        <v>109</v>
      </c>
      <c r="D494" t="s">
        <v>21</v>
      </c>
      <c r="E494">
        <v>3626</v>
      </c>
      <c r="F494">
        <v>471380</v>
      </c>
    </row>
    <row r="495" spans="1:6" x14ac:dyDescent="0.35">
      <c r="A495">
        <v>10</v>
      </c>
      <c r="B495" t="str">
        <f>CHOOSE(Table2[[#This Row],[Month]], "Jan","Feb","Mar","Apr","May","Jun","Jul","Aug","Sep","Oct","Nov","Dec")</f>
        <v>Oct</v>
      </c>
      <c r="C495" t="s">
        <v>111</v>
      </c>
      <c r="D495" t="s">
        <v>31</v>
      </c>
      <c r="E495">
        <v>668</v>
      </c>
      <c r="F495">
        <v>82832</v>
      </c>
    </row>
    <row r="496" spans="1:6" x14ac:dyDescent="0.35">
      <c r="A496">
        <v>10</v>
      </c>
      <c r="B496" t="str">
        <f>CHOOSE(Table2[[#This Row],[Month]], "Jan","Feb","Mar","Apr","May","Jun","Jul","Aug","Sep","Oct","Nov","Dec")</f>
        <v>Oct</v>
      </c>
      <c r="C496" t="s">
        <v>113</v>
      </c>
      <c r="D496" t="s">
        <v>11</v>
      </c>
      <c r="E496">
        <v>4542</v>
      </c>
      <c r="F496">
        <v>540498</v>
      </c>
    </row>
    <row r="497" spans="1:6" x14ac:dyDescent="0.35">
      <c r="A497">
        <v>10</v>
      </c>
      <c r="B497" t="str">
        <f>CHOOSE(Table2[[#This Row],[Month]], "Jan","Feb","Mar","Apr","May","Jun","Jul","Aug","Sep","Oct","Nov","Dec")</f>
        <v>Oct</v>
      </c>
      <c r="C497" t="s">
        <v>115</v>
      </c>
      <c r="D497" t="s">
        <v>17</v>
      </c>
      <c r="E497">
        <v>1178</v>
      </c>
      <c r="F497">
        <v>24738</v>
      </c>
    </row>
    <row r="498" spans="1:6" x14ac:dyDescent="0.35">
      <c r="A498">
        <v>10</v>
      </c>
      <c r="B498" t="str">
        <f>CHOOSE(Table2[[#This Row],[Month]], "Jan","Feb","Mar","Apr","May","Jun","Jul","Aug","Sep","Oct","Nov","Dec")</f>
        <v>Oct</v>
      </c>
      <c r="C498" t="s">
        <v>117</v>
      </c>
      <c r="D498" t="s">
        <v>17</v>
      </c>
      <c r="E498">
        <v>576</v>
      </c>
      <c r="F498">
        <v>33984</v>
      </c>
    </row>
    <row r="499" spans="1:6" x14ac:dyDescent="0.35">
      <c r="A499">
        <v>10</v>
      </c>
      <c r="B499" t="str">
        <f>CHOOSE(Table2[[#This Row],[Month]], "Jan","Feb","Mar","Apr","May","Jun","Jul","Aug","Sep","Oct","Nov","Dec")</f>
        <v>Oct</v>
      </c>
      <c r="C499" t="s">
        <v>119</v>
      </c>
      <c r="D499" t="s">
        <v>31</v>
      </c>
      <c r="E499">
        <v>4902</v>
      </c>
      <c r="F499">
        <v>568632</v>
      </c>
    </row>
    <row r="500" spans="1:6" x14ac:dyDescent="0.35">
      <c r="A500">
        <v>10</v>
      </c>
      <c r="B500" t="str">
        <f>CHOOSE(Table2[[#This Row],[Month]], "Jan","Feb","Mar","Apr","May","Jun","Jul","Aug","Sep","Oct","Nov","Dec")</f>
        <v>Oct</v>
      </c>
      <c r="C500" t="s">
        <v>121</v>
      </c>
      <c r="D500" t="s">
        <v>31</v>
      </c>
      <c r="E500">
        <v>4833</v>
      </c>
      <c r="F500">
        <v>652455</v>
      </c>
    </row>
    <row r="501" spans="1:6" x14ac:dyDescent="0.35">
      <c r="A501">
        <v>10</v>
      </c>
      <c r="B501" t="str">
        <f>CHOOSE(Table2[[#This Row],[Month]], "Jan","Feb","Mar","Apr","May","Jun","Jul","Aug","Sep","Oct","Nov","Dec")</f>
        <v>Oct</v>
      </c>
      <c r="C501" t="s">
        <v>123</v>
      </c>
      <c r="D501" t="s">
        <v>17</v>
      </c>
      <c r="E501">
        <v>3480</v>
      </c>
      <c r="F501">
        <v>441960</v>
      </c>
    </row>
    <row r="502" spans="1:6" x14ac:dyDescent="0.35">
      <c r="A502">
        <v>11</v>
      </c>
      <c r="B502" t="str">
        <f>CHOOSE(Table2[[#This Row],[Month]], "Jan","Feb","Mar","Apr","May","Jun","Jul","Aug","Sep","Oct","Nov","Dec")</f>
        <v>Nov</v>
      </c>
      <c r="C502" t="s">
        <v>8</v>
      </c>
      <c r="D502" t="s">
        <v>21</v>
      </c>
      <c r="E502">
        <v>1335</v>
      </c>
      <c r="F502">
        <v>101460</v>
      </c>
    </row>
    <row r="503" spans="1:6" x14ac:dyDescent="0.35">
      <c r="A503">
        <v>11</v>
      </c>
      <c r="B503" t="str">
        <f>CHOOSE(Table2[[#This Row],[Month]], "Jan","Feb","Mar","Apr","May","Jun","Jul","Aug","Sep","Oct","Nov","Dec")</f>
        <v>Nov</v>
      </c>
      <c r="C503" t="s">
        <v>15</v>
      </c>
      <c r="D503" t="s">
        <v>11</v>
      </c>
      <c r="E503">
        <v>4135</v>
      </c>
      <c r="F503">
        <v>190210</v>
      </c>
    </row>
    <row r="504" spans="1:6" x14ac:dyDescent="0.35">
      <c r="A504">
        <v>11</v>
      </c>
      <c r="B504" t="str">
        <f>CHOOSE(Table2[[#This Row],[Month]], "Jan","Feb","Mar","Apr","May","Jun","Jul","Aug","Sep","Oct","Nov","Dec")</f>
        <v>Nov</v>
      </c>
      <c r="C504" t="s">
        <v>19</v>
      </c>
      <c r="D504" t="s">
        <v>21</v>
      </c>
      <c r="E504">
        <v>2723</v>
      </c>
      <c r="F504">
        <v>277746</v>
      </c>
    </row>
    <row r="505" spans="1:6" x14ac:dyDescent="0.35">
      <c r="A505">
        <v>11</v>
      </c>
      <c r="B505" t="str">
        <f>CHOOSE(Table2[[#This Row],[Month]], "Jan","Feb","Mar","Apr","May","Jun","Jul","Aug","Sep","Oct","Nov","Dec")</f>
        <v>Nov</v>
      </c>
      <c r="C505" t="s">
        <v>24</v>
      </c>
      <c r="D505" t="s">
        <v>11</v>
      </c>
      <c r="E505">
        <v>2144</v>
      </c>
      <c r="F505">
        <v>111488</v>
      </c>
    </row>
    <row r="506" spans="1:6" x14ac:dyDescent="0.35">
      <c r="A506">
        <v>11</v>
      </c>
      <c r="B506" t="str">
        <f>CHOOSE(Table2[[#This Row],[Month]], "Jan","Feb","Mar","Apr","May","Jun","Jul","Aug","Sep","Oct","Nov","Dec")</f>
        <v>Nov</v>
      </c>
      <c r="C506" t="s">
        <v>28</v>
      </c>
      <c r="D506" t="s">
        <v>17</v>
      </c>
      <c r="E506">
        <v>206</v>
      </c>
      <c r="F506">
        <v>4944</v>
      </c>
    </row>
    <row r="507" spans="1:6" x14ac:dyDescent="0.35">
      <c r="A507">
        <v>11</v>
      </c>
      <c r="B507" t="str">
        <f>CHOOSE(Table2[[#This Row],[Month]], "Jan","Feb","Mar","Apr","May","Jun","Jul","Aug","Sep","Oct","Nov","Dec")</f>
        <v>Nov</v>
      </c>
      <c r="C507" t="s">
        <v>33</v>
      </c>
      <c r="D507" t="s">
        <v>17</v>
      </c>
      <c r="E507">
        <v>2400</v>
      </c>
      <c r="F507">
        <v>268800</v>
      </c>
    </row>
    <row r="508" spans="1:6" x14ac:dyDescent="0.35">
      <c r="A508">
        <v>11</v>
      </c>
      <c r="B508" t="str">
        <f>CHOOSE(Table2[[#This Row],[Month]], "Jan","Feb","Mar","Apr","May","Jun","Jul","Aug","Sep","Oct","Nov","Dec")</f>
        <v>Nov</v>
      </c>
      <c r="C508" t="s">
        <v>36</v>
      </c>
      <c r="D508" t="s">
        <v>11</v>
      </c>
      <c r="E508">
        <v>730</v>
      </c>
      <c r="F508">
        <v>80300</v>
      </c>
    </row>
    <row r="509" spans="1:6" x14ac:dyDescent="0.35">
      <c r="A509">
        <v>11</v>
      </c>
      <c r="B509" t="str">
        <f>CHOOSE(Table2[[#This Row],[Month]], "Jan","Feb","Mar","Apr","May","Jun","Jul","Aug","Sep","Oct","Nov","Dec")</f>
        <v>Nov</v>
      </c>
      <c r="C509" t="s">
        <v>39</v>
      </c>
      <c r="D509" t="s">
        <v>11</v>
      </c>
      <c r="E509">
        <v>1199</v>
      </c>
      <c r="F509">
        <v>103114</v>
      </c>
    </row>
    <row r="510" spans="1:6" x14ac:dyDescent="0.35">
      <c r="A510">
        <v>11</v>
      </c>
      <c r="B510" t="str">
        <f>CHOOSE(Table2[[#This Row],[Month]], "Jan","Feb","Mar","Apr","May","Jun","Jul","Aug","Sep","Oct","Nov","Dec")</f>
        <v>Nov</v>
      </c>
      <c r="C510" t="s">
        <v>41</v>
      </c>
      <c r="D510" t="s">
        <v>21</v>
      </c>
      <c r="E510">
        <v>3004</v>
      </c>
      <c r="F510">
        <v>366488</v>
      </c>
    </row>
    <row r="511" spans="1:6" x14ac:dyDescent="0.35">
      <c r="A511">
        <v>11</v>
      </c>
      <c r="B511" t="str">
        <f>CHOOSE(Table2[[#This Row],[Month]], "Jan","Feb","Mar","Apr","May","Jun","Jul","Aug","Sep","Oct","Nov","Dec")</f>
        <v>Nov</v>
      </c>
      <c r="C511" t="s">
        <v>43</v>
      </c>
      <c r="D511" t="s">
        <v>11</v>
      </c>
      <c r="E511">
        <v>2793</v>
      </c>
      <c r="F511">
        <v>418950</v>
      </c>
    </row>
    <row r="512" spans="1:6" x14ac:dyDescent="0.35">
      <c r="A512">
        <v>11</v>
      </c>
      <c r="B512" t="str">
        <f>CHOOSE(Table2[[#This Row],[Month]], "Jan","Feb","Mar","Apr","May","Jun","Jul","Aug","Sep","Oct","Nov","Dec")</f>
        <v>Nov</v>
      </c>
      <c r="C512" t="s">
        <v>45</v>
      </c>
      <c r="D512" t="s">
        <v>21</v>
      </c>
      <c r="E512">
        <v>1452</v>
      </c>
      <c r="F512">
        <v>81312</v>
      </c>
    </row>
    <row r="513" spans="1:6" x14ac:dyDescent="0.35">
      <c r="A513">
        <v>11</v>
      </c>
      <c r="B513" t="str">
        <f>CHOOSE(Table2[[#This Row],[Month]], "Jan","Feb","Mar","Apr","May","Jun","Jul","Aug","Sep","Oct","Nov","Dec")</f>
        <v>Nov</v>
      </c>
      <c r="C513" t="s">
        <v>47</v>
      </c>
      <c r="D513" t="s">
        <v>21</v>
      </c>
      <c r="E513">
        <v>3651</v>
      </c>
      <c r="F513">
        <v>175248</v>
      </c>
    </row>
    <row r="514" spans="1:6" x14ac:dyDescent="0.35">
      <c r="A514">
        <v>11</v>
      </c>
      <c r="B514" t="str">
        <f>CHOOSE(Table2[[#This Row],[Month]], "Jan","Feb","Mar","Apr","May","Jun","Jul","Aug","Sep","Oct","Nov","Dec")</f>
        <v>Nov</v>
      </c>
      <c r="C514" t="s">
        <v>49</v>
      </c>
      <c r="D514" t="s">
        <v>11</v>
      </c>
      <c r="E514">
        <v>2367</v>
      </c>
      <c r="F514">
        <v>231966</v>
      </c>
    </row>
    <row r="515" spans="1:6" x14ac:dyDescent="0.35">
      <c r="A515">
        <v>11</v>
      </c>
      <c r="B515" t="str">
        <f>CHOOSE(Table2[[#This Row],[Month]], "Jan","Feb","Mar","Apr","May","Jun","Jul","Aug","Sep","Oct","Nov","Dec")</f>
        <v>Nov</v>
      </c>
      <c r="C515" t="s">
        <v>51</v>
      </c>
      <c r="D515" t="s">
        <v>21</v>
      </c>
      <c r="E515">
        <v>4729</v>
      </c>
      <c r="F515">
        <v>279011</v>
      </c>
    </row>
    <row r="516" spans="1:6" x14ac:dyDescent="0.35">
      <c r="A516">
        <v>11</v>
      </c>
      <c r="B516" t="str">
        <f>CHOOSE(Table2[[#This Row],[Month]], "Jan","Feb","Mar","Apr","May","Jun","Jul","Aug","Sep","Oct","Nov","Dec")</f>
        <v>Nov</v>
      </c>
      <c r="C516" t="s">
        <v>53</v>
      </c>
      <c r="D516" t="s">
        <v>11</v>
      </c>
      <c r="E516">
        <v>3067</v>
      </c>
      <c r="F516">
        <v>199355</v>
      </c>
    </row>
    <row r="517" spans="1:6" x14ac:dyDescent="0.35">
      <c r="A517">
        <v>11</v>
      </c>
      <c r="B517" t="str">
        <f>CHOOSE(Table2[[#This Row],[Month]], "Jan","Feb","Mar","Apr","May","Jun","Jul","Aug","Sep","Oct","Nov","Dec")</f>
        <v>Nov</v>
      </c>
      <c r="C517" t="s">
        <v>55</v>
      </c>
      <c r="D517" t="s">
        <v>11</v>
      </c>
      <c r="E517">
        <v>2495</v>
      </c>
      <c r="F517">
        <v>209580</v>
      </c>
    </row>
    <row r="518" spans="1:6" x14ac:dyDescent="0.35">
      <c r="A518">
        <v>11</v>
      </c>
      <c r="B518" t="str">
        <f>CHOOSE(Table2[[#This Row],[Month]], "Jan","Feb","Mar","Apr","May","Jun","Jul","Aug","Sep","Oct","Nov","Dec")</f>
        <v>Nov</v>
      </c>
      <c r="C518" t="s">
        <v>57</v>
      </c>
      <c r="D518" t="s">
        <v>11</v>
      </c>
      <c r="E518">
        <v>428</v>
      </c>
      <c r="F518">
        <v>63772</v>
      </c>
    </row>
    <row r="519" spans="1:6" x14ac:dyDescent="0.35">
      <c r="A519">
        <v>11</v>
      </c>
      <c r="B519" t="str">
        <f>CHOOSE(Table2[[#This Row],[Month]], "Jan","Feb","Mar","Apr","May","Jun","Jul","Aug","Sep","Oct","Nov","Dec")</f>
        <v>Nov</v>
      </c>
      <c r="C519" t="s">
        <v>59</v>
      </c>
      <c r="D519" t="s">
        <v>11</v>
      </c>
      <c r="E519">
        <v>4623</v>
      </c>
      <c r="F519">
        <v>670335</v>
      </c>
    </row>
    <row r="520" spans="1:6" x14ac:dyDescent="0.35">
      <c r="A520">
        <v>11</v>
      </c>
      <c r="B520" t="str">
        <f>CHOOSE(Table2[[#This Row],[Month]], "Jan","Feb","Mar","Apr","May","Jun","Jul","Aug","Sep","Oct","Nov","Dec")</f>
        <v>Nov</v>
      </c>
      <c r="C520" t="s">
        <v>61</v>
      </c>
      <c r="D520" t="s">
        <v>17</v>
      </c>
      <c r="E520">
        <v>743</v>
      </c>
      <c r="F520">
        <v>45323</v>
      </c>
    </row>
    <row r="521" spans="1:6" x14ac:dyDescent="0.35">
      <c r="A521">
        <v>11</v>
      </c>
      <c r="B521" t="str">
        <f>CHOOSE(Table2[[#This Row],[Month]], "Jan","Feb","Mar","Apr","May","Jun","Jul","Aug","Sep","Oct","Nov","Dec")</f>
        <v>Nov</v>
      </c>
      <c r="C521" t="s">
        <v>63</v>
      </c>
      <c r="D521" t="s">
        <v>31</v>
      </c>
      <c r="E521">
        <v>1086</v>
      </c>
      <c r="F521">
        <v>93396</v>
      </c>
    </row>
    <row r="522" spans="1:6" x14ac:dyDescent="0.35">
      <c r="A522">
        <v>11</v>
      </c>
      <c r="B522" t="str">
        <f>CHOOSE(Table2[[#This Row],[Month]], "Jan","Feb","Mar","Apr","May","Jun","Jul","Aug","Sep","Oct","Nov","Dec")</f>
        <v>Nov</v>
      </c>
      <c r="C522" t="s">
        <v>65</v>
      </c>
      <c r="D522" t="s">
        <v>17</v>
      </c>
      <c r="E522">
        <v>1761</v>
      </c>
      <c r="F522">
        <v>214842</v>
      </c>
    </row>
    <row r="523" spans="1:6" x14ac:dyDescent="0.35">
      <c r="A523">
        <v>11</v>
      </c>
      <c r="B523" t="str">
        <f>CHOOSE(Table2[[#This Row],[Month]], "Jan","Feb","Mar","Apr","May","Jun","Jul","Aug","Sep","Oct","Nov","Dec")</f>
        <v>Nov</v>
      </c>
      <c r="C523" t="s">
        <v>67</v>
      </c>
      <c r="D523" t="s">
        <v>17</v>
      </c>
      <c r="E523">
        <v>3931</v>
      </c>
      <c r="F523">
        <v>275170</v>
      </c>
    </row>
    <row r="524" spans="1:6" x14ac:dyDescent="0.35">
      <c r="A524">
        <v>11</v>
      </c>
      <c r="B524" t="str">
        <f>CHOOSE(Table2[[#This Row],[Month]], "Jan","Feb","Mar","Apr","May","Jun","Jul","Aug","Sep","Oct","Nov","Dec")</f>
        <v>Nov</v>
      </c>
      <c r="C524" t="s">
        <v>69</v>
      </c>
      <c r="D524" t="s">
        <v>31</v>
      </c>
      <c r="E524">
        <v>996</v>
      </c>
      <c r="F524">
        <v>96612</v>
      </c>
    </row>
    <row r="525" spans="1:6" x14ac:dyDescent="0.35">
      <c r="A525">
        <v>11</v>
      </c>
      <c r="B525" t="str">
        <f>CHOOSE(Table2[[#This Row],[Month]], "Jan","Feb","Mar","Apr","May","Jun","Jul","Aug","Sep","Oct","Nov","Dec")</f>
        <v>Nov</v>
      </c>
      <c r="C525" t="s">
        <v>71</v>
      </c>
      <c r="D525" t="s">
        <v>21</v>
      </c>
      <c r="E525">
        <v>1670</v>
      </c>
      <c r="F525">
        <v>38410</v>
      </c>
    </row>
    <row r="526" spans="1:6" x14ac:dyDescent="0.35">
      <c r="A526">
        <v>11</v>
      </c>
      <c r="B526" t="str">
        <f>CHOOSE(Table2[[#This Row],[Month]], "Jan","Feb","Mar","Apr","May","Jun","Jul","Aug","Sep","Oct","Nov","Dec")</f>
        <v>Nov</v>
      </c>
      <c r="C526" t="s">
        <v>73</v>
      </c>
      <c r="D526" t="s">
        <v>31</v>
      </c>
      <c r="E526">
        <v>3207</v>
      </c>
      <c r="F526">
        <v>432945</v>
      </c>
    </row>
    <row r="527" spans="1:6" x14ac:dyDescent="0.35">
      <c r="A527">
        <v>11</v>
      </c>
      <c r="B527" t="str">
        <f>CHOOSE(Table2[[#This Row],[Month]], "Jan","Feb","Mar","Apr","May","Jun","Jul","Aug","Sep","Oct","Nov","Dec")</f>
        <v>Nov</v>
      </c>
      <c r="C527" t="s">
        <v>75</v>
      </c>
      <c r="D527" t="s">
        <v>11</v>
      </c>
      <c r="E527">
        <v>2953</v>
      </c>
      <c r="F527">
        <v>262817</v>
      </c>
    </row>
    <row r="528" spans="1:6" x14ac:dyDescent="0.35">
      <c r="A528">
        <v>11</v>
      </c>
      <c r="B528" t="str">
        <f>CHOOSE(Table2[[#This Row],[Month]], "Jan","Feb","Mar","Apr","May","Jun","Jul","Aug","Sep","Oct","Nov","Dec")</f>
        <v>Nov</v>
      </c>
      <c r="C528" t="s">
        <v>77</v>
      </c>
      <c r="D528" t="s">
        <v>21</v>
      </c>
      <c r="E528">
        <v>3312</v>
      </c>
      <c r="F528">
        <v>96048</v>
      </c>
    </row>
    <row r="529" spans="1:6" x14ac:dyDescent="0.35">
      <c r="A529">
        <v>11</v>
      </c>
      <c r="B529" t="str">
        <f>CHOOSE(Table2[[#This Row],[Month]], "Jan","Feb","Mar","Apr","May","Jun","Jul","Aug","Sep","Oct","Nov","Dec")</f>
        <v>Nov</v>
      </c>
      <c r="C529" t="s">
        <v>79</v>
      </c>
      <c r="D529" t="s">
        <v>17</v>
      </c>
      <c r="E529">
        <v>1007</v>
      </c>
      <c r="F529">
        <v>79553</v>
      </c>
    </row>
    <row r="530" spans="1:6" x14ac:dyDescent="0.35">
      <c r="A530">
        <v>11</v>
      </c>
      <c r="B530" t="str">
        <f>CHOOSE(Table2[[#This Row],[Month]], "Jan","Feb","Mar","Apr","May","Jun","Jul","Aug","Sep","Oct","Nov","Dec")</f>
        <v>Nov</v>
      </c>
      <c r="C530" t="s">
        <v>81</v>
      </c>
      <c r="D530" t="s">
        <v>11</v>
      </c>
      <c r="E530">
        <v>4065</v>
      </c>
      <c r="F530">
        <v>247965</v>
      </c>
    </row>
    <row r="531" spans="1:6" x14ac:dyDescent="0.35">
      <c r="A531">
        <v>11</v>
      </c>
      <c r="B531" t="str">
        <f>CHOOSE(Table2[[#This Row],[Month]], "Jan","Feb","Mar","Apr","May","Jun","Jul","Aug","Sep","Oct","Nov","Dec")</f>
        <v>Nov</v>
      </c>
      <c r="C531" t="s">
        <v>83</v>
      </c>
      <c r="D531" t="s">
        <v>11</v>
      </c>
      <c r="E531">
        <v>3757</v>
      </c>
      <c r="F531">
        <v>334373</v>
      </c>
    </row>
    <row r="532" spans="1:6" x14ac:dyDescent="0.35">
      <c r="A532">
        <v>11</v>
      </c>
      <c r="B532" t="str">
        <f>CHOOSE(Table2[[#This Row],[Month]], "Jan","Feb","Mar","Apr","May","Jun","Jul","Aug","Sep","Oct","Nov","Dec")</f>
        <v>Nov</v>
      </c>
      <c r="C532" t="s">
        <v>85</v>
      </c>
      <c r="D532" t="s">
        <v>21</v>
      </c>
      <c r="E532">
        <v>3253</v>
      </c>
      <c r="F532">
        <v>87831</v>
      </c>
    </row>
    <row r="533" spans="1:6" x14ac:dyDescent="0.35">
      <c r="A533">
        <v>11</v>
      </c>
      <c r="B533" t="str">
        <f>CHOOSE(Table2[[#This Row],[Month]], "Jan","Feb","Mar","Apr","May","Jun","Jul","Aug","Sep","Oct","Nov","Dec")</f>
        <v>Nov</v>
      </c>
      <c r="C533" t="s">
        <v>87</v>
      </c>
      <c r="D533" t="s">
        <v>31</v>
      </c>
      <c r="E533">
        <v>244</v>
      </c>
      <c r="F533">
        <v>21228</v>
      </c>
    </row>
    <row r="534" spans="1:6" x14ac:dyDescent="0.35">
      <c r="A534">
        <v>11</v>
      </c>
      <c r="B534" t="str">
        <f>CHOOSE(Table2[[#This Row],[Month]], "Jan","Feb","Mar","Apr","May","Jun","Jul","Aug","Sep","Oct","Nov","Dec")</f>
        <v>Nov</v>
      </c>
      <c r="C534" t="s">
        <v>89</v>
      </c>
      <c r="D534" t="s">
        <v>21</v>
      </c>
      <c r="E534">
        <v>2036</v>
      </c>
      <c r="F534">
        <v>152700</v>
      </c>
    </row>
    <row r="535" spans="1:6" x14ac:dyDescent="0.35">
      <c r="A535">
        <v>11</v>
      </c>
      <c r="B535" t="str">
        <f>CHOOSE(Table2[[#This Row],[Month]], "Jan","Feb","Mar","Apr","May","Jun","Jul","Aug","Sep","Oct","Nov","Dec")</f>
        <v>Nov</v>
      </c>
      <c r="C535" t="s">
        <v>91</v>
      </c>
      <c r="D535" t="s">
        <v>21</v>
      </c>
      <c r="E535">
        <v>2263</v>
      </c>
      <c r="F535">
        <v>298716</v>
      </c>
    </row>
    <row r="536" spans="1:6" x14ac:dyDescent="0.35">
      <c r="A536">
        <v>11</v>
      </c>
      <c r="B536" t="str">
        <f>CHOOSE(Table2[[#This Row],[Month]], "Jan","Feb","Mar","Apr","May","Jun","Jul","Aug","Sep","Oct","Nov","Dec")</f>
        <v>Nov</v>
      </c>
      <c r="C536" t="s">
        <v>93</v>
      </c>
      <c r="D536" t="s">
        <v>31</v>
      </c>
      <c r="E536">
        <v>1567</v>
      </c>
      <c r="F536">
        <v>125360</v>
      </c>
    </row>
    <row r="537" spans="1:6" x14ac:dyDescent="0.35">
      <c r="A537">
        <v>11</v>
      </c>
      <c r="B537" t="str">
        <f>CHOOSE(Table2[[#This Row],[Month]], "Jan","Feb","Mar","Apr","May","Jun","Jul","Aug","Sep","Oct","Nov","Dec")</f>
        <v>Nov</v>
      </c>
      <c r="C537" t="s">
        <v>95</v>
      </c>
      <c r="D537" t="s">
        <v>17</v>
      </c>
      <c r="E537">
        <v>1174</v>
      </c>
      <c r="F537">
        <v>83354</v>
      </c>
    </row>
    <row r="538" spans="1:6" x14ac:dyDescent="0.35">
      <c r="A538">
        <v>11</v>
      </c>
      <c r="B538" t="str">
        <f>CHOOSE(Table2[[#This Row],[Month]], "Jan","Feb","Mar","Apr","May","Jun","Jul","Aug","Sep","Oct","Nov","Dec")</f>
        <v>Nov</v>
      </c>
      <c r="C538" t="s">
        <v>97</v>
      </c>
      <c r="D538" t="s">
        <v>21</v>
      </c>
      <c r="E538">
        <v>2658</v>
      </c>
      <c r="F538">
        <v>77082</v>
      </c>
    </row>
    <row r="539" spans="1:6" x14ac:dyDescent="0.35">
      <c r="A539">
        <v>11</v>
      </c>
      <c r="B539" t="str">
        <f>CHOOSE(Table2[[#This Row],[Month]], "Jan","Feb","Mar","Apr","May","Jun","Jul","Aug","Sep","Oct","Nov","Dec")</f>
        <v>Nov</v>
      </c>
      <c r="C539" t="s">
        <v>99</v>
      </c>
      <c r="D539" t="s">
        <v>17</v>
      </c>
      <c r="E539">
        <v>2573</v>
      </c>
      <c r="F539">
        <v>156953</v>
      </c>
    </row>
    <row r="540" spans="1:6" x14ac:dyDescent="0.35">
      <c r="A540">
        <v>11</v>
      </c>
      <c r="B540" t="str">
        <f>CHOOSE(Table2[[#This Row],[Month]], "Jan","Feb","Mar","Apr","May","Jun","Jul","Aug","Sep","Oct","Nov","Dec")</f>
        <v>Nov</v>
      </c>
      <c r="C540" t="s">
        <v>101</v>
      </c>
      <c r="D540" t="s">
        <v>21</v>
      </c>
      <c r="E540">
        <v>2782</v>
      </c>
      <c r="F540">
        <v>314366</v>
      </c>
    </row>
    <row r="541" spans="1:6" x14ac:dyDescent="0.35">
      <c r="A541">
        <v>11</v>
      </c>
      <c r="B541" t="str">
        <f>CHOOSE(Table2[[#This Row],[Month]], "Jan","Feb","Mar","Apr","May","Jun","Jul","Aug","Sep","Oct","Nov","Dec")</f>
        <v>Nov</v>
      </c>
      <c r="C541" t="s">
        <v>103</v>
      </c>
      <c r="D541" t="s">
        <v>17</v>
      </c>
      <c r="E541">
        <v>3566</v>
      </c>
      <c r="F541">
        <v>192564</v>
      </c>
    </row>
    <row r="542" spans="1:6" x14ac:dyDescent="0.35">
      <c r="A542">
        <v>11</v>
      </c>
      <c r="B542" t="str">
        <f>CHOOSE(Table2[[#This Row],[Month]], "Jan","Feb","Mar","Apr","May","Jun","Jul","Aug","Sep","Oct","Nov","Dec")</f>
        <v>Nov</v>
      </c>
      <c r="C542" t="s">
        <v>105</v>
      </c>
      <c r="D542" t="s">
        <v>21</v>
      </c>
      <c r="E542">
        <v>995</v>
      </c>
      <c r="F542">
        <v>141290</v>
      </c>
    </row>
    <row r="543" spans="1:6" x14ac:dyDescent="0.35">
      <c r="A543">
        <v>11</v>
      </c>
      <c r="B543" t="str">
        <f>CHOOSE(Table2[[#This Row],[Month]], "Jan","Feb","Mar","Apr","May","Jun","Jul","Aug","Sep","Oct","Nov","Dec")</f>
        <v>Nov</v>
      </c>
      <c r="C543" t="s">
        <v>107</v>
      </c>
      <c r="D543" t="s">
        <v>31</v>
      </c>
      <c r="E543">
        <v>3283</v>
      </c>
      <c r="F543">
        <v>105056</v>
      </c>
    </row>
    <row r="544" spans="1:6" x14ac:dyDescent="0.35">
      <c r="A544">
        <v>11</v>
      </c>
      <c r="B544" t="str">
        <f>CHOOSE(Table2[[#This Row],[Month]], "Jan","Feb","Mar","Apr","May","Jun","Jul","Aug","Sep","Oct","Nov","Dec")</f>
        <v>Nov</v>
      </c>
      <c r="C544" t="s">
        <v>109</v>
      </c>
      <c r="D544" t="s">
        <v>11</v>
      </c>
      <c r="E544">
        <v>4935</v>
      </c>
      <c r="F544">
        <v>394800</v>
      </c>
    </row>
    <row r="545" spans="1:6" x14ac:dyDescent="0.35">
      <c r="A545">
        <v>11</v>
      </c>
      <c r="B545" t="str">
        <f>CHOOSE(Table2[[#This Row],[Month]], "Jan","Feb","Mar","Apr","May","Jun","Jul","Aug","Sep","Oct","Nov","Dec")</f>
        <v>Nov</v>
      </c>
      <c r="C545" t="s">
        <v>111</v>
      </c>
      <c r="D545" t="s">
        <v>31</v>
      </c>
      <c r="E545">
        <v>2495</v>
      </c>
      <c r="F545">
        <v>326845</v>
      </c>
    </row>
    <row r="546" spans="1:6" x14ac:dyDescent="0.35">
      <c r="A546">
        <v>11</v>
      </c>
      <c r="B546" t="str">
        <f>CHOOSE(Table2[[#This Row],[Month]], "Jan","Feb","Mar","Apr","May","Jun","Jul","Aug","Sep","Oct","Nov","Dec")</f>
        <v>Nov</v>
      </c>
      <c r="C546" t="s">
        <v>113</v>
      </c>
      <c r="D546" t="s">
        <v>17</v>
      </c>
      <c r="E546">
        <v>366</v>
      </c>
      <c r="F546">
        <v>20130</v>
      </c>
    </row>
    <row r="547" spans="1:6" x14ac:dyDescent="0.35">
      <c r="A547">
        <v>11</v>
      </c>
      <c r="B547" t="str">
        <f>CHOOSE(Table2[[#This Row],[Month]], "Jan","Feb","Mar","Apr","May","Jun","Jul","Aug","Sep","Oct","Nov","Dec")</f>
        <v>Nov</v>
      </c>
      <c r="C547" t="s">
        <v>115</v>
      </c>
      <c r="D547" t="s">
        <v>21</v>
      </c>
      <c r="E547">
        <v>4998</v>
      </c>
      <c r="F547">
        <v>639744</v>
      </c>
    </row>
    <row r="548" spans="1:6" x14ac:dyDescent="0.35">
      <c r="A548">
        <v>11</v>
      </c>
      <c r="B548" t="str">
        <f>CHOOSE(Table2[[#This Row],[Month]], "Jan","Feb","Mar","Apr","May","Jun","Jul","Aug","Sep","Oct","Nov","Dec")</f>
        <v>Nov</v>
      </c>
      <c r="C548" t="s">
        <v>117</v>
      </c>
      <c r="D548" t="s">
        <v>31</v>
      </c>
      <c r="E548">
        <v>211</v>
      </c>
      <c r="F548">
        <v>6963</v>
      </c>
    </row>
    <row r="549" spans="1:6" x14ac:dyDescent="0.35">
      <c r="A549">
        <v>11</v>
      </c>
      <c r="B549" t="str">
        <f>CHOOSE(Table2[[#This Row],[Month]], "Jan","Feb","Mar","Apr","May","Jun","Jul","Aug","Sep","Oct","Nov","Dec")</f>
        <v>Nov</v>
      </c>
      <c r="C549" t="s">
        <v>119</v>
      </c>
      <c r="D549" t="s">
        <v>17</v>
      </c>
      <c r="E549">
        <v>2844</v>
      </c>
      <c r="F549">
        <v>258804</v>
      </c>
    </row>
    <row r="550" spans="1:6" x14ac:dyDescent="0.35">
      <c r="A550">
        <v>11</v>
      </c>
      <c r="B550" t="str">
        <f>CHOOSE(Table2[[#This Row],[Month]], "Jan","Feb","Mar","Apr","May","Jun","Jul","Aug","Sep","Oct","Nov","Dec")</f>
        <v>Nov</v>
      </c>
      <c r="C550" t="s">
        <v>121</v>
      </c>
      <c r="D550" t="s">
        <v>31</v>
      </c>
      <c r="E550">
        <v>4267</v>
      </c>
      <c r="F550">
        <v>482171</v>
      </c>
    </row>
    <row r="551" spans="1:6" x14ac:dyDescent="0.35">
      <c r="A551">
        <v>11</v>
      </c>
      <c r="B551" t="str">
        <f>CHOOSE(Table2[[#This Row],[Month]], "Jan","Feb","Mar","Apr","May","Jun","Jul","Aug","Sep","Oct","Nov","Dec")</f>
        <v>Nov</v>
      </c>
      <c r="C551" t="s">
        <v>123</v>
      </c>
      <c r="D551" t="s">
        <v>31</v>
      </c>
      <c r="E551">
        <v>806</v>
      </c>
      <c r="F551">
        <v>52390</v>
      </c>
    </row>
    <row r="552" spans="1:6" x14ac:dyDescent="0.35">
      <c r="A552">
        <v>12</v>
      </c>
      <c r="B552" t="str">
        <f>CHOOSE(Table2[[#This Row],[Month]], "Jan","Feb","Mar","Apr","May","Jun","Jul","Aug","Sep","Oct","Nov","Dec")</f>
        <v>Dec</v>
      </c>
      <c r="C552" t="s">
        <v>8</v>
      </c>
      <c r="D552" t="s">
        <v>11</v>
      </c>
      <c r="E552">
        <v>186</v>
      </c>
      <c r="F552">
        <v>9300</v>
      </c>
    </row>
    <row r="553" spans="1:6" x14ac:dyDescent="0.35">
      <c r="A553">
        <v>12</v>
      </c>
      <c r="B553" t="str">
        <f>CHOOSE(Table2[[#This Row],[Month]], "Jan","Feb","Mar","Apr","May","Jun","Jul","Aug","Sep","Oct","Nov","Dec")</f>
        <v>Dec</v>
      </c>
      <c r="C553" t="s">
        <v>15</v>
      </c>
      <c r="D553" t="s">
        <v>17</v>
      </c>
      <c r="E553">
        <v>1859</v>
      </c>
      <c r="F553">
        <v>111540</v>
      </c>
    </row>
    <row r="554" spans="1:6" x14ac:dyDescent="0.35">
      <c r="A554">
        <v>12</v>
      </c>
      <c r="B554" t="str">
        <f>CHOOSE(Table2[[#This Row],[Month]], "Jan","Feb","Mar","Apr","May","Jun","Jul","Aug","Sep","Oct","Nov","Dec")</f>
        <v>Dec</v>
      </c>
      <c r="C554" t="s">
        <v>19</v>
      </c>
      <c r="D554" t="s">
        <v>31</v>
      </c>
      <c r="E554">
        <v>4115</v>
      </c>
      <c r="F554">
        <v>423845</v>
      </c>
    </row>
    <row r="555" spans="1:6" x14ac:dyDescent="0.35">
      <c r="A555">
        <v>12</v>
      </c>
      <c r="B555" t="str">
        <f>CHOOSE(Table2[[#This Row],[Month]], "Jan","Feb","Mar","Apr","May","Jun","Jul","Aug","Sep","Oct","Nov","Dec")</f>
        <v>Dec</v>
      </c>
      <c r="C555" t="s">
        <v>24</v>
      </c>
      <c r="D555" t="s">
        <v>31</v>
      </c>
      <c r="E555">
        <v>420</v>
      </c>
      <c r="F555">
        <v>61740</v>
      </c>
    </row>
    <row r="556" spans="1:6" x14ac:dyDescent="0.35">
      <c r="A556">
        <v>12</v>
      </c>
      <c r="B556" t="str">
        <f>CHOOSE(Table2[[#This Row],[Month]], "Jan","Feb","Mar","Apr","May","Jun","Jul","Aug","Sep","Oct","Nov","Dec")</f>
        <v>Dec</v>
      </c>
      <c r="C556" t="s">
        <v>28</v>
      </c>
      <c r="D556" t="s">
        <v>21</v>
      </c>
      <c r="E556">
        <v>754</v>
      </c>
      <c r="F556">
        <v>42224</v>
      </c>
    </row>
    <row r="557" spans="1:6" x14ac:dyDescent="0.35">
      <c r="A557">
        <v>12</v>
      </c>
      <c r="B557" t="str">
        <f>CHOOSE(Table2[[#This Row],[Month]], "Jan","Feb","Mar","Apr","May","Jun","Jul","Aug","Sep","Oct","Nov","Dec")</f>
        <v>Dec</v>
      </c>
      <c r="C557" t="s">
        <v>33</v>
      </c>
      <c r="D557" t="s">
        <v>31</v>
      </c>
      <c r="E557">
        <v>1245</v>
      </c>
      <c r="F557">
        <v>28635</v>
      </c>
    </row>
    <row r="558" spans="1:6" x14ac:dyDescent="0.35">
      <c r="A558">
        <v>12</v>
      </c>
      <c r="B558" t="str">
        <f>CHOOSE(Table2[[#This Row],[Month]], "Jan","Feb","Mar","Apr","May","Jun","Jul","Aug","Sep","Oct","Nov","Dec")</f>
        <v>Dec</v>
      </c>
      <c r="C558" t="s">
        <v>36</v>
      </c>
      <c r="D558" t="s">
        <v>21</v>
      </c>
      <c r="E558">
        <v>316</v>
      </c>
      <c r="F558">
        <v>19908</v>
      </c>
    </row>
    <row r="559" spans="1:6" x14ac:dyDescent="0.35">
      <c r="A559">
        <v>12</v>
      </c>
      <c r="B559" t="str">
        <f>CHOOSE(Table2[[#This Row],[Month]], "Jan","Feb","Mar","Apr","May","Jun","Jul","Aug","Sep","Oct","Nov","Dec")</f>
        <v>Dec</v>
      </c>
      <c r="C559" t="s">
        <v>39</v>
      </c>
      <c r="D559" t="s">
        <v>17</v>
      </c>
      <c r="E559">
        <v>3147</v>
      </c>
      <c r="F559">
        <v>349317</v>
      </c>
    </row>
    <row r="560" spans="1:6" x14ac:dyDescent="0.35">
      <c r="A560">
        <v>12</v>
      </c>
      <c r="B560" t="str">
        <f>CHOOSE(Table2[[#This Row],[Month]], "Jan","Feb","Mar","Apr","May","Jun","Jul","Aug","Sep","Oct","Nov","Dec")</f>
        <v>Dec</v>
      </c>
      <c r="C560" t="s">
        <v>41</v>
      </c>
      <c r="D560" t="s">
        <v>17</v>
      </c>
      <c r="E560">
        <v>760</v>
      </c>
      <c r="F560">
        <v>68400</v>
      </c>
    </row>
    <row r="561" spans="1:6" x14ac:dyDescent="0.35">
      <c r="A561">
        <v>12</v>
      </c>
      <c r="B561" t="str">
        <f>CHOOSE(Table2[[#This Row],[Month]], "Jan","Feb","Mar","Apr","May","Jun","Jul","Aug","Sep","Oct","Nov","Dec")</f>
        <v>Dec</v>
      </c>
      <c r="C561" t="s">
        <v>43</v>
      </c>
      <c r="D561" t="s">
        <v>17</v>
      </c>
      <c r="E561">
        <v>3933</v>
      </c>
      <c r="F561">
        <v>287109</v>
      </c>
    </row>
    <row r="562" spans="1:6" x14ac:dyDescent="0.35">
      <c r="A562">
        <v>12</v>
      </c>
      <c r="B562" t="str">
        <f>CHOOSE(Table2[[#This Row],[Month]], "Jan","Feb","Mar","Apr","May","Jun","Jul","Aug","Sep","Oct","Nov","Dec")</f>
        <v>Dec</v>
      </c>
      <c r="C562" t="s">
        <v>45</v>
      </c>
      <c r="D562" t="s">
        <v>11</v>
      </c>
      <c r="E562">
        <v>1337</v>
      </c>
      <c r="F562">
        <v>46795</v>
      </c>
    </row>
    <row r="563" spans="1:6" x14ac:dyDescent="0.35">
      <c r="A563">
        <v>12</v>
      </c>
      <c r="B563" t="str">
        <f>CHOOSE(Table2[[#This Row],[Month]], "Jan","Feb","Mar","Apr","May","Jun","Jul","Aug","Sep","Oct","Nov","Dec")</f>
        <v>Dec</v>
      </c>
      <c r="C563" t="s">
        <v>47</v>
      </c>
      <c r="D563" t="s">
        <v>11</v>
      </c>
      <c r="E563">
        <v>1319</v>
      </c>
      <c r="F563">
        <v>162237</v>
      </c>
    </row>
    <row r="564" spans="1:6" x14ac:dyDescent="0.35">
      <c r="A564">
        <v>12</v>
      </c>
      <c r="B564" t="str">
        <f>CHOOSE(Table2[[#This Row],[Month]], "Jan","Feb","Mar","Apr","May","Jun","Jul","Aug","Sep","Oct","Nov","Dec")</f>
        <v>Dec</v>
      </c>
      <c r="C564" t="s">
        <v>49</v>
      </c>
      <c r="D564" t="s">
        <v>17</v>
      </c>
      <c r="E564">
        <v>4293</v>
      </c>
      <c r="F564">
        <v>231822</v>
      </c>
    </row>
    <row r="565" spans="1:6" x14ac:dyDescent="0.35">
      <c r="A565">
        <v>12</v>
      </c>
      <c r="B565" t="str">
        <f>CHOOSE(Table2[[#This Row],[Month]], "Jan","Feb","Mar","Apr","May","Jun","Jul","Aug","Sep","Oct","Nov","Dec")</f>
        <v>Dec</v>
      </c>
      <c r="C565" t="s">
        <v>51</v>
      </c>
      <c r="D565" t="s">
        <v>31</v>
      </c>
      <c r="E565">
        <v>3332</v>
      </c>
      <c r="F565">
        <v>246568</v>
      </c>
    </row>
    <row r="566" spans="1:6" x14ac:dyDescent="0.35">
      <c r="A566">
        <v>12</v>
      </c>
      <c r="B566" t="str">
        <f>CHOOSE(Table2[[#This Row],[Month]], "Jan","Feb","Mar","Apr","May","Jun","Jul","Aug","Sep","Oct","Nov","Dec")</f>
        <v>Dec</v>
      </c>
      <c r="C566" t="s">
        <v>53</v>
      </c>
      <c r="D566" t="s">
        <v>31</v>
      </c>
      <c r="E566">
        <v>3146</v>
      </c>
      <c r="F566">
        <v>213928</v>
      </c>
    </row>
    <row r="567" spans="1:6" x14ac:dyDescent="0.35">
      <c r="A567">
        <v>12</v>
      </c>
      <c r="B567" t="str">
        <f>CHOOSE(Table2[[#This Row],[Month]], "Jan","Feb","Mar","Apr","May","Jun","Jul","Aug","Sep","Oct","Nov","Dec")</f>
        <v>Dec</v>
      </c>
      <c r="C567" t="s">
        <v>55</v>
      </c>
      <c r="D567" t="s">
        <v>31</v>
      </c>
      <c r="E567">
        <v>4593</v>
      </c>
      <c r="F567">
        <v>486858</v>
      </c>
    </row>
    <row r="568" spans="1:6" x14ac:dyDescent="0.35">
      <c r="A568">
        <v>12</v>
      </c>
      <c r="B568" t="str">
        <f>CHOOSE(Table2[[#This Row],[Month]], "Jan","Feb","Mar","Apr","May","Jun","Jul","Aug","Sep","Oct","Nov","Dec")</f>
        <v>Dec</v>
      </c>
      <c r="C568" t="s">
        <v>57</v>
      </c>
      <c r="D568" t="s">
        <v>11</v>
      </c>
      <c r="E568">
        <v>2258</v>
      </c>
      <c r="F568">
        <v>225800</v>
      </c>
    </row>
    <row r="569" spans="1:6" x14ac:dyDescent="0.35">
      <c r="A569">
        <v>12</v>
      </c>
      <c r="B569" t="str">
        <f>CHOOSE(Table2[[#This Row],[Month]], "Jan","Feb","Mar","Apr","May","Jun","Jul","Aug","Sep","Oct","Nov","Dec")</f>
        <v>Dec</v>
      </c>
      <c r="C569" t="s">
        <v>59</v>
      </c>
      <c r="D569" t="s">
        <v>11</v>
      </c>
      <c r="E569">
        <v>3858</v>
      </c>
      <c r="F569">
        <v>119598</v>
      </c>
    </row>
    <row r="570" spans="1:6" x14ac:dyDescent="0.35">
      <c r="A570">
        <v>12</v>
      </c>
      <c r="B570" t="str">
        <f>CHOOSE(Table2[[#This Row],[Month]], "Jan","Feb","Mar","Apr","May","Jun","Jul","Aug","Sep","Oct","Nov","Dec")</f>
        <v>Dec</v>
      </c>
      <c r="C570" t="s">
        <v>61</v>
      </c>
      <c r="D570" t="s">
        <v>31</v>
      </c>
      <c r="E570">
        <v>2480</v>
      </c>
      <c r="F570">
        <v>124000</v>
      </c>
    </row>
    <row r="571" spans="1:6" x14ac:dyDescent="0.35">
      <c r="A571">
        <v>12</v>
      </c>
      <c r="B571" t="str">
        <f>CHOOSE(Table2[[#This Row],[Month]], "Jan","Feb","Mar","Apr","May","Jun","Jul","Aug","Sep","Oct","Nov","Dec")</f>
        <v>Dec</v>
      </c>
      <c r="C571" t="s">
        <v>63</v>
      </c>
      <c r="D571" t="s">
        <v>11</v>
      </c>
      <c r="E571">
        <v>906</v>
      </c>
      <c r="F571">
        <v>70668</v>
      </c>
    </row>
    <row r="572" spans="1:6" x14ac:dyDescent="0.35">
      <c r="A572">
        <v>12</v>
      </c>
      <c r="B572" t="str">
        <f>CHOOSE(Table2[[#This Row],[Month]], "Jan","Feb","Mar","Apr","May","Jun","Jul","Aug","Sep","Oct","Nov","Dec")</f>
        <v>Dec</v>
      </c>
      <c r="C572" t="s">
        <v>65</v>
      </c>
      <c r="D572" t="s">
        <v>31</v>
      </c>
      <c r="E572">
        <v>2506</v>
      </c>
      <c r="F572">
        <v>177926</v>
      </c>
    </row>
    <row r="573" spans="1:6" x14ac:dyDescent="0.35">
      <c r="A573">
        <v>12</v>
      </c>
      <c r="B573" t="str">
        <f>CHOOSE(Table2[[#This Row],[Month]], "Jan","Feb","Mar","Apr","May","Jun","Jul","Aug","Sep","Oct","Nov","Dec")</f>
        <v>Dec</v>
      </c>
      <c r="C573" t="s">
        <v>67</v>
      </c>
      <c r="D573" t="s">
        <v>11</v>
      </c>
      <c r="E573">
        <v>3747</v>
      </c>
      <c r="F573">
        <v>134892</v>
      </c>
    </row>
    <row r="574" spans="1:6" x14ac:dyDescent="0.35">
      <c r="A574">
        <v>12</v>
      </c>
      <c r="B574" t="str">
        <f>CHOOSE(Table2[[#This Row],[Month]], "Jan","Feb","Mar","Apr","May","Jun","Jul","Aug","Sep","Oct","Nov","Dec")</f>
        <v>Dec</v>
      </c>
      <c r="C574" t="s">
        <v>69</v>
      </c>
      <c r="D574" t="s">
        <v>21</v>
      </c>
      <c r="E574">
        <v>1973</v>
      </c>
      <c r="F574">
        <v>73001</v>
      </c>
    </row>
    <row r="575" spans="1:6" x14ac:dyDescent="0.35">
      <c r="A575">
        <v>12</v>
      </c>
      <c r="B575" t="str">
        <f>CHOOSE(Table2[[#This Row],[Month]], "Jan","Feb","Mar","Apr","May","Jun","Jul","Aug","Sep","Oct","Nov","Dec")</f>
        <v>Dec</v>
      </c>
      <c r="C575" t="s">
        <v>71</v>
      </c>
      <c r="D575" t="s">
        <v>31</v>
      </c>
      <c r="E575">
        <v>3988</v>
      </c>
      <c r="F575">
        <v>370884</v>
      </c>
    </row>
    <row r="576" spans="1:6" x14ac:dyDescent="0.35">
      <c r="A576">
        <v>12</v>
      </c>
      <c r="B576" t="str">
        <f>CHOOSE(Table2[[#This Row],[Month]], "Jan","Feb","Mar","Apr","May","Jun","Jul","Aug","Sep","Oct","Nov","Dec")</f>
        <v>Dec</v>
      </c>
      <c r="C576" t="s">
        <v>73</v>
      </c>
      <c r="D576" t="s">
        <v>21</v>
      </c>
      <c r="E576">
        <v>2442</v>
      </c>
      <c r="F576">
        <v>307692</v>
      </c>
    </row>
    <row r="577" spans="1:6" x14ac:dyDescent="0.35">
      <c r="A577">
        <v>12</v>
      </c>
      <c r="B577" t="str">
        <f>CHOOSE(Table2[[#This Row],[Month]], "Jan","Feb","Mar","Apr","May","Jun","Jul","Aug","Sep","Oct","Nov","Dec")</f>
        <v>Dec</v>
      </c>
      <c r="C577" t="s">
        <v>75</v>
      </c>
      <c r="D577" t="s">
        <v>31</v>
      </c>
      <c r="E577">
        <v>2502</v>
      </c>
      <c r="F577">
        <v>175140</v>
      </c>
    </row>
    <row r="578" spans="1:6" x14ac:dyDescent="0.35">
      <c r="A578">
        <v>12</v>
      </c>
      <c r="B578" t="str">
        <f>CHOOSE(Table2[[#This Row],[Month]], "Jan","Feb","Mar","Apr","May","Jun","Jul","Aug","Sep","Oct","Nov","Dec")</f>
        <v>Dec</v>
      </c>
      <c r="C578" t="s">
        <v>77</v>
      </c>
      <c r="D578" t="s">
        <v>11</v>
      </c>
      <c r="E578">
        <v>3662</v>
      </c>
      <c r="F578">
        <v>194086</v>
      </c>
    </row>
    <row r="579" spans="1:6" x14ac:dyDescent="0.35">
      <c r="A579">
        <v>12</v>
      </c>
      <c r="B579" t="str">
        <f>CHOOSE(Table2[[#This Row],[Month]], "Jan","Feb","Mar","Apr","May","Jun","Jul","Aug","Sep","Oct","Nov","Dec")</f>
        <v>Dec</v>
      </c>
      <c r="C579" t="s">
        <v>79</v>
      </c>
      <c r="D579" t="s">
        <v>17</v>
      </c>
      <c r="E579">
        <v>1265</v>
      </c>
      <c r="F579">
        <v>29095</v>
      </c>
    </row>
    <row r="580" spans="1:6" x14ac:dyDescent="0.35">
      <c r="A580">
        <v>12</v>
      </c>
      <c r="B580" t="str">
        <f>CHOOSE(Table2[[#This Row],[Month]], "Jan","Feb","Mar","Apr","May","Jun","Jul","Aug","Sep","Oct","Nov","Dec")</f>
        <v>Dec</v>
      </c>
      <c r="C580" t="s">
        <v>81</v>
      </c>
      <c r="D580" t="s">
        <v>21</v>
      </c>
      <c r="E580">
        <v>3885</v>
      </c>
      <c r="F580">
        <v>202020</v>
      </c>
    </row>
    <row r="581" spans="1:6" x14ac:dyDescent="0.35">
      <c r="A581">
        <v>12</v>
      </c>
      <c r="B581" t="str">
        <f>CHOOSE(Table2[[#This Row],[Month]], "Jan","Feb","Mar","Apr","May","Jun","Jul","Aug","Sep","Oct","Nov","Dec")</f>
        <v>Dec</v>
      </c>
      <c r="C581" t="s">
        <v>83</v>
      </c>
      <c r="D581" t="s">
        <v>11</v>
      </c>
      <c r="E581">
        <v>1741</v>
      </c>
      <c r="F581">
        <v>208920</v>
      </c>
    </row>
    <row r="582" spans="1:6" x14ac:dyDescent="0.35">
      <c r="A582">
        <v>12</v>
      </c>
      <c r="B582" t="str">
        <f>CHOOSE(Table2[[#This Row],[Month]], "Jan","Feb","Mar","Apr","May","Jun","Jul","Aug","Sep","Oct","Nov","Dec")</f>
        <v>Dec</v>
      </c>
      <c r="C582" t="s">
        <v>85</v>
      </c>
      <c r="D582" t="s">
        <v>17</v>
      </c>
      <c r="E582">
        <v>2397</v>
      </c>
      <c r="F582">
        <v>280449</v>
      </c>
    </row>
    <row r="583" spans="1:6" x14ac:dyDescent="0.35">
      <c r="A583">
        <v>12</v>
      </c>
      <c r="B583" t="str">
        <f>CHOOSE(Table2[[#This Row],[Month]], "Jan","Feb","Mar","Apr","May","Jun","Jul","Aug","Sep","Oct","Nov","Dec")</f>
        <v>Dec</v>
      </c>
      <c r="C583" t="s">
        <v>87</v>
      </c>
      <c r="D583" t="s">
        <v>31</v>
      </c>
      <c r="E583">
        <v>1864</v>
      </c>
      <c r="F583">
        <v>270280</v>
      </c>
    </row>
    <row r="584" spans="1:6" x14ac:dyDescent="0.35">
      <c r="A584">
        <v>12</v>
      </c>
      <c r="B584" t="str">
        <f>CHOOSE(Table2[[#This Row],[Month]], "Jan","Feb","Mar","Apr","May","Jun","Jul","Aug","Sep","Oct","Nov","Dec")</f>
        <v>Dec</v>
      </c>
      <c r="C584" t="s">
        <v>89</v>
      </c>
      <c r="D584" t="s">
        <v>11</v>
      </c>
      <c r="E584">
        <v>200</v>
      </c>
      <c r="F584">
        <v>24200</v>
      </c>
    </row>
    <row r="585" spans="1:6" x14ac:dyDescent="0.35">
      <c r="A585">
        <v>12</v>
      </c>
      <c r="B585" t="str">
        <f>CHOOSE(Table2[[#This Row],[Month]], "Jan","Feb","Mar","Apr","May","Jun","Jul","Aug","Sep","Oct","Nov","Dec")</f>
        <v>Dec</v>
      </c>
      <c r="C585" t="s">
        <v>91</v>
      </c>
      <c r="D585" t="s">
        <v>31</v>
      </c>
      <c r="E585">
        <v>4320</v>
      </c>
      <c r="F585">
        <v>172800</v>
      </c>
    </row>
    <row r="586" spans="1:6" x14ac:dyDescent="0.35">
      <c r="A586">
        <v>12</v>
      </c>
      <c r="B586" t="str">
        <f>CHOOSE(Table2[[#This Row],[Month]], "Jan","Feb","Mar","Apr","May","Jun","Jul","Aug","Sep","Oct","Nov","Dec")</f>
        <v>Dec</v>
      </c>
      <c r="C586" t="s">
        <v>93</v>
      </c>
      <c r="D586" t="s">
        <v>31</v>
      </c>
      <c r="E586">
        <v>2435</v>
      </c>
      <c r="F586">
        <v>221585</v>
      </c>
    </row>
    <row r="587" spans="1:6" x14ac:dyDescent="0.35">
      <c r="A587">
        <v>12</v>
      </c>
      <c r="B587" t="str">
        <f>CHOOSE(Table2[[#This Row],[Month]], "Jan","Feb","Mar","Apr","May","Jun","Jul","Aug","Sep","Oct","Nov","Dec")</f>
        <v>Dec</v>
      </c>
      <c r="C587" t="s">
        <v>95</v>
      </c>
      <c r="D587" t="s">
        <v>11</v>
      </c>
      <c r="E587">
        <v>1305</v>
      </c>
      <c r="F587">
        <v>170955</v>
      </c>
    </row>
    <row r="588" spans="1:6" x14ac:dyDescent="0.35">
      <c r="A588">
        <v>12</v>
      </c>
      <c r="B588" t="str">
        <f>CHOOSE(Table2[[#This Row],[Month]], "Jan","Feb","Mar","Apr","May","Jun","Jul","Aug","Sep","Oct","Nov","Dec")</f>
        <v>Dec</v>
      </c>
      <c r="C588" t="s">
        <v>97</v>
      </c>
      <c r="D588" t="s">
        <v>21</v>
      </c>
      <c r="E588">
        <v>2812</v>
      </c>
      <c r="F588">
        <v>134976</v>
      </c>
    </row>
    <row r="589" spans="1:6" x14ac:dyDescent="0.35">
      <c r="A589">
        <v>12</v>
      </c>
      <c r="B589" t="str">
        <f>CHOOSE(Table2[[#This Row],[Month]], "Jan","Feb","Mar","Apr","May","Jun","Jul","Aug","Sep","Oct","Nov","Dec")</f>
        <v>Dec</v>
      </c>
      <c r="C589" t="s">
        <v>99</v>
      </c>
      <c r="D589" t="s">
        <v>31</v>
      </c>
      <c r="E589">
        <v>496</v>
      </c>
      <c r="F589">
        <v>16864</v>
      </c>
    </row>
    <row r="590" spans="1:6" x14ac:dyDescent="0.35">
      <c r="A590">
        <v>12</v>
      </c>
      <c r="B590" t="str">
        <f>CHOOSE(Table2[[#This Row],[Month]], "Jan","Feb","Mar","Apr","May","Jun","Jul","Aug","Sep","Oct","Nov","Dec")</f>
        <v>Dec</v>
      </c>
      <c r="C590" t="s">
        <v>101</v>
      </c>
      <c r="D590" t="s">
        <v>21</v>
      </c>
      <c r="E590">
        <v>1957</v>
      </c>
      <c r="F590">
        <v>60667</v>
      </c>
    </row>
    <row r="591" spans="1:6" x14ac:dyDescent="0.35">
      <c r="A591">
        <v>12</v>
      </c>
      <c r="B591" t="str">
        <f>CHOOSE(Table2[[#This Row],[Month]], "Jan","Feb","Mar","Apr","May","Jun","Jul","Aug","Sep","Oct","Nov","Dec")</f>
        <v>Dec</v>
      </c>
      <c r="C591" t="s">
        <v>103</v>
      </c>
      <c r="D591" t="s">
        <v>21</v>
      </c>
      <c r="E591">
        <v>129</v>
      </c>
      <c r="F591">
        <v>11610</v>
      </c>
    </row>
    <row r="592" spans="1:6" x14ac:dyDescent="0.35">
      <c r="A592">
        <v>12</v>
      </c>
      <c r="B592" t="str">
        <f>CHOOSE(Table2[[#This Row],[Month]], "Jan","Feb","Mar","Apr","May","Jun","Jul","Aug","Sep","Oct","Nov","Dec")</f>
        <v>Dec</v>
      </c>
      <c r="C592" t="s">
        <v>105</v>
      </c>
      <c r="D592" t="s">
        <v>21</v>
      </c>
      <c r="E592">
        <v>3749</v>
      </c>
      <c r="F592">
        <v>269928</v>
      </c>
    </row>
    <row r="593" spans="1:6" x14ac:dyDescent="0.35">
      <c r="A593">
        <v>12</v>
      </c>
      <c r="B593" t="str">
        <f>CHOOSE(Table2[[#This Row],[Month]], "Jan","Feb","Mar","Apr","May","Jun","Jul","Aug","Sep","Oct","Nov","Dec")</f>
        <v>Dec</v>
      </c>
      <c r="C593" t="s">
        <v>107</v>
      </c>
      <c r="D593" t="s">
        <v>17</v>
      </c>
      <c r="E593">
        <v>2806</v>
      </c>
      <c r="F593">
        <v>404064</v>
      </c>
    </row>
    <row r="594" spans="1:6" x14ac:dyDescent="0.35">
      <c r="A594">
        <v>12</v>
      </c>
      <c r="B594" t="str">
        <f>CHOOSE(Table2[[#This Row],[Month]], "Jan","Feb","Mar","Apr","May","Jun","Jul","Aug","Sep","Oct","Nov","Dec")</f>
        <v>Dec</v>
      </c>
      <c r="C594" t="s">
        <v>109</v>
      </c>
      <c r="D594" t="s">
        <v>31</v>
      </c>
      <c r="E594">
        <v>1109</v>
      </c>
      <c r="F594">
        <v>99810</v>
      </c>
    </row>
    <row r="595" spans="1:6" x14ac:dyDescent="0.35">
      <c r="A595">
        <v>12</v>
      </c>
      <c r="B595" t="str">
        <f>CHOOSE(Table2[[#This Row],[Month]], "Jan","Feb","Mar","Apr","May","Jun","Jul","Aug","Sep","Oct","Nov","Dec")</f>
        <v>Dec</v>
      </c>
      <c r="C595" t="s">
        <v>111</v>
      </c>
      <c r="D595" t="s">
        <v>31</v>
      </c>
      <c r="E595">
        <v>4445</v>
      </c>
      <c r="F595">
        <v>413385</v>
      </c>
    </row>
    <row r="596" spans="1:6" x14ac:dyDescent="0.35">
      <c r="A596">
        <v>12</v>
      </c>
      <c r="B596" t="str">
        <f>CHOOSE(Table2[[#This Row],[Month]], "Jan","Feb","Mar","Apr","May","Jun","Jul","Aug","Sep","Oct","Nov","Dec")</f>
        <v>Dec</v>
      </c>
      <c r="C596" t="s">
        <v>113</v>
      </c>
      <c r="D596" t="s">
        <v>11</v>
      </c>
      <c r="E596">
        <v>1139</v>
      </c>
      <c r="F596">
        <v>86564</v>
      </c>
    </row>
    <row r="597" spans="1:6" x14ac:dyDescent="0.35">
      <c r="A597">
        <v>12</v>
      </c>
      <c r="B597" t="str">
        <f>CHOOSE(Table2[[#This Row],[Month]], "Jan","Feb","Mar","Apr","May","Jun","Jul","Aug","Sep","Oct","Nov","Dec")</f>
        <v>Dec</v>
      </c>
      <c r="C597" t="s">
        <v>115</v>
      </c>
      <c r="D597" t="s">
        <v>21</v>
      </c>
      <c r="E597">
        <v>2215</v>
      </c>
      <c r="F597">
        <v>239220</v>
      </c>
    </row>
    <row r="598" spans="1:6" x14ac:dyDescent="0.35">
      <c r="A598">
        <v>12</v>
      </c>
      <c r="B598" t="str">
        <f>CHOOSE(Table2[[#This Row],[Month]], "Jan","Feb","Mar","Apr","May","Jun","Jul","Aug","Sep","Oct","Nov","Dec")</f>
        <v>Dec</v>
      </c>
      <c r="C598" t="s">
        <v>117</v>
      </c>
      <c r="D598" t="s">
        <v>11</v>
      </c>
      <c r="E598">
        <v>2271</v>
      </c>
      <c r="F598">
        <v>59046</v>
      </c>
    </row>
    <row r="599" spans="1:6" x14ac:dyDescent="0.35">
      <c r="A599">
        <v>12</v>
      </c>
      <c r="B599" t="str">
        <f>CHOOSE(Table2[[#This Row],[Month]], "Jan","Feb","Mar","Apr","May","Jun","Jul","Aug","Sep","Oct","Nov","Dec")</f>
        <v>Dec</v>
      </c>
      <c r="C599" t="s">
        <v>119</v>
      </c>
      <c r="D599" t="s">
        <v>17</v>
      </c>
      <c r="E599">
        <v>3562</v>
      </c>
      <c r="F599">
        <v>498680</v>
      </c>
    </row>
    <row r="600" spans="1:6" x14ac:dyDescent="0.35">
      <c r="A600">
        <v>12</v>
      </c>
      <c r="B600" t="str">
        <f>CHOOSE(Table2[[#This Row],[Month]], "Jan","Feb","Mar","Apr","May","Jun","Jul","Aug","Sep","Oct","Nov","Dec")</f>
        <v>Dec</v>
      </c>
      <c r="C600" t="s">
        <v>121</v>
      </c>
      <c r="D600" t="s">
        <v>21</v>
      </c>
      <c r="E600">
        <v>1770</v>
      </c>
      <c r="F600">
        <v>240720</v>
      </c>
    </row>
    <row r="601" spans="1:6" x14ac:dyDescent="0.35">
      <c r="A601">
        <v>12</v>
      </c>
      <c r="B601" t="str">
        <f>CHOOSE(Table2[[#This Row],[Month]], "Jan","Feb","Mar","Apr","May","Jun","Jul","Aug","Sep","Oct","Nov","Dec")</f>
        <v>Dec</v>
      </c>
      <c r="C601" t="s">
        <v>123</v>
      </c>
      <c r="D601" t="s">
        <v>17</v>
      </c>
      <c r="E601">
        <v>4361</v>
      </c>
      <c r="F601">
        <v>575652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E14D-5CE1-443D-AB7D-38B0DAC0B10F}">
  <dimension ref="B1:L276"/>
  <sheetViews>
    <sheetView zoomScale="40" zoomScaleNormal="40" workbookViewId="0">
      <selection activeCell="N12" sqref="N12"/>
    </sheetView>
  </sheetViews>
  <sheetFormatPr defaultRowHeight="14.5" x14ac:dyDescent="0.35"/>
  <cols>
    <col min="3" max="3" width="30.08984375" customWidth="1"/>
    <col min="4" max="4" width="31.26953125" style="28" customWidth="1"/>
    <col min="5" max="5" width="8.81640625" bestFit="1" customWidth="1"/>
    <col min="6" max="6" width="19.7265625" customWidth="1"/>
    <col min="7" max="7" width="19" customWidth="1"/>
    <col min="8" max="8" width="20.54296875" customWidth="1"/>
    <col min="9" max="9" width="19.1796875" customWidth="1"/>
    <col min="10" max="10" width="19.453125" customWidth="1"/>
    <col min="11" max="11" width="21.54296875" customWidth="1"/>
    <col min="12" max="12" width="15.54296875" customWidth="1"/>
    <col min="13" max="53" width="11.453125" bestFit="1" customWidth="1"/>
    <col min="54" max="54" width="10.7265625" bestFit="1" customWidth="1"/>
  </cols>
  <sheetData>
    <row r="1" spans="2:12" ht="15" thickBot="1" x14ac:dyDescent="0.4"/>
    <row r="2" spans="2:12" ht="14.5" customHeight="1" x14ac:dyDescent="0.35">
      <c r="B2" s="49"/>
      <c r="C2" s="39" t="s">
        <v>182</v>
      </c>
      <c r="D2" s="40"/>
      <c r="E2" s="40"/>
      <c r="F2" s="40"/>
      <c r="G2" s="40"/>
      <c r="H2" s="40"/>
      <c r="I2" s="40"/>
      <c r="J2" s="40"/>
      <c r="K2" s="40"/>
      <c r="L2" s="41"/>
    </row>
    <row r="3" spans="2:12" ht="15" customHeight="1" thickBot="1" x14ac:dyDescent="0.4">
      <c r="B3" s="49"/>
      <c r="C3" s="42"/>
      <c r="D3" s="43"/>
      <c r="E3" s="43"/>
      <c r="F3" s="43"/>
      <c r="G3" s="43"/>
      <c r="H3" s="43"/>
      <c r="I3" s="43"/>
      <c r="J3" s="43"/>
      <c r="K3" s="43"/>
      <c r="L3" s="44"/>
    </row>
    <row r="5" spans="2:12" x14ac:dyDescent="0.35">
      <c r="C5" s="18" t="s">
        <v>4</v>
      </c>
      <c r="D5" s="27" t="s">
        <v>162</v>
      </c>
      <c r="F5" s="50" t="s">
        <v>162</v>
      </c>
      <c r="G5" s="50" t="s">
        <v>4</v>
      </c>
      <c r="H5" s="27"/>
      <c r="I5" s="27"/>
      <c r="J5" s="27"/>
      <c r="K5" s="27"/>
      <c r="L5" s="38" t="s">
        <v>176</v>
      </c>
    </row>
    <row r="6" spans="2:12" x14ac:dyDescent="0.35">
      <c r="C6" s="19" t="s">
        <v>17</v>
      </c>
      <c r="D6" s="27">
        <v>34386026</v>
      </c>
      <c r="F6" s="50" t="s">
        <v>177</v>
      </c>
      <c r="G6" s="27" t="s">
        <v>17</v>
      </c>
      <c r="H6" s="27" t="s">
        <v>11</v>
      </c>
      <c r="I6" s="27" t="s">
        <v>31</v>
      </c>
      <c r="J6" s="27" t="s">
        <v>21</v>
      </c>
      <c r="K6" s="27" t="s">
        <v>151</v>
      </c>
      <c r="L6" s="38"/>
    </row>
    <row r="7" spans="2:12" x14ac:dyDescent="0.35">
      <c r="C7" s="19" t="s">
        <v>21</v>
      </c>
      <c r="D7" s="27">
        <v>32433680</v>
      </c>
      <c r="F7" s="51" t="s">
        <v>45</v>
      </c>
      <c r="G7" s="27">
        <v>1135553</v>
      </c>
      <c r="H7" s="27">
        <v>46795</v>
      </c>
      <c r="I7" s="27">
        <v>1337631</v>
      </c>
      <c r="J7" s="27">
        <v>1714185</v>
      </c>
      <c r="K7" s="27">
        <v>4234164</v>
      </c>
      <c r="L7" s="29">
        <f t="shared" ref="L7:L38" si="0">K7/125125944</f>
        <v>3.3839217229002481E-2</v>
      </c>
    </row>
    <row r="8" spans="2:12" x14ac:dyDescent="0.35">
      <c r="C8" s="19" t="s">
        <v>31</v>
      </c>
      <c r="D8" s="27">
        <v>31708927</v>
      </c>
      <c r="F8" s="51" t="s">
        <v>121</v>
      </c>
      <c r="G8" s="27">
        <v>658752</v>
      </c>
      <c r="H8" s="27">
        <v>795218</v>
      </c>
      <c r="I8" s="27">
        <v>1758110</v>
      </c>
      <c r="J8" s="27">
        <v>962136</v>
      </c>
      <c r="K8" s="27">
        <v>4174216</v>
      </c>
      <c r="L8" s="29">
        <f t="shared" si="0"/>
        <v>3.33601159484559E-2</v>
      </c>
    </row>
    <row r="9" spans="2:12" x14ac:dyDescent="0.35">
      <c r="C9" s="19" t="s">
        <v>11</v>
      </c>
      <c r="D9" s="27">
        <v>26597311</v>
      </c>
      <c r="F9" s="51" t="s">
        <v>24</v>
      </c>
      <c r="G9" s="27">
        <v>174900</v>
      </c>
      <c r="H9" s="27">
        <v>693359</v>
      </c>
      <c r="I9" s="27">
        <v>1219268</v>
      </c>
      <c r="J9" s="27">
        <v>1557392</v>
      </c>
      <c r="K9" s="27">
        <v>3644919</v>
      </c>
      <c r="L9" s="29">
        <f t="shared" si="0"/>
        <v>2.9130002008216617E-2</v>
      </c>
    </row>
    <row r="10" spans="2:12" x14ac:dyDescent="0.35">
      <c r="C10" s="19" t="s">
        <v>151</v>
      </c>
      <c r="D10" s="27">
        <v>125125944</v>
      </c>
      <c r="F10" s="51" t="s">
        <v>115</v>
      </c>
      <c r="G10" s="27">
        <v>187560</v>
      </c>
      <c r="H10" s="27">
        <v>1863293</v>
      </c>
      <c r="I10" s="27">
        <v>659670</v>
      </c>
      <c r="J10" s="27">
        <v>878964</v>
      </c>
      <c r="K10" s="27">
        <v>3589487</v>
      </c>
      <c r="L10" s="29">
        <f t="shared" si="0"/>
        <v>2.86869923634702E-2</v>
      </c>
    </row>
    <row r="11" spans="2:12" x14ac:dyDescent="0.35">
      <c r="F11" s="51" t="s">
        <v>73</v>
      </c>
      <c r="G11" s="27">
        <v>533716</v>
      </c>
      <c r="H11" s="27">
        <v>627978</v>
      </c>
      <c r="I11" s="27">
        <v>472179</v>
      </c>
      <c r="J11" s="27">
        <v>1656832</v>
      </c>
      <c r="K11" s="27">
        <v>3290705</v>
      </c>
      <c r="L11" s="29">
        <f t="shared" si="0"/>
        <v>2.6299142246631123E-2</v>
      </c>
    </row>
    <row r="12" spans="2:12" x14ac:dyDescent="0.35">
      <c r="F12" s="51" t="s">
        <v>41</v>
      </c>
      <c r="G12" s="27">
        <v>757493</v>
      </c>
      <c r="H12" s="27">
        <v>684437</v>
      </c>
      <c r="I12" s="27"/>
      <c r="J12" s="27">
        <v>1793510</v>
      </c>
      <c r="K12" s="27">
        <v>3235440</v>
      </c>
      <c r="L12" s="29">
        <f t="shared" si="0"/>
        <v>2.5857467257150123E-2</v>
      </c>
    </row>
    <row r="13" spans="2:12" x14ac:dyDescent="0.35">
      <c r="F13" s="51" t="s">
        <v>123</v>
      </c>
      <c r="G13" s="27">
        <v>1259337</v>
      </c>
      <c r="H13" s="27">
        <v>736955</v>
      </c>
      <c r="I13" s="27">
        <v>548887</v>
      </c>
      <c r="J13" s="27">
        <v>650685</v>
      </c>
      <c r="K13" s="27">
        <v>3195864</v>
      </c>
      <c r="L13" s="29">
        <f t="shared" si="0"/>
        <v>2.5541177935089147E-2</v>
      </c>
    </row>
    <row r="14" spans="2:12" x14ac:dyDescent="0.35">
      <c r="F14" s="51" t="s">
        <v>67</v>
      </c>
      <c r="G14" s="27">
        <v>1244733</v>
      </c>
      <c r="H14" s="27">
        <v>717931</v>
      </c>
      <c r="I14" s="27">
        <v>780774</v>
      </c>
      <c r="J14" s="27">
        <v>395637</v>
      </c>
      <c r="K14" s="27">
        <v>3139075</v>
      </c>
      <c r="L14" s="29">
        <f t="shared" si="0"/>
        <v>2.5087323217317745E-2</v>
      </c>
    </row>
    <row r="15" spans="2:12" x14ac:dyDescent="0.35">
      <c r="F15" s="51" t="s">
        <v>43</v>
      </c>
      <c r="G15" s="27">
        <v>1610859</v>
      </c>
      <c r="H15" s="27">
        <v>418950</v>
      </c>
      <c r="I15" s="27">
        <v>438721</v>
      </c>
      <c r="J15" s="27">
        <v>507277</v>
      </c>
      <c r="K15" s="27">
        <v>2975807</v>
      </c>
      <c r="L15" s="29">
        <f t="shared" si="0"/>
        <v>2.3782493900705356E-2</v>
      </c>
    </row>
    <row r="16" spans="2:12" x14ac:dyDescent="0.35">
      <c r="F16" s="51" t="s">
        <v>75</v>
      </c>
      <c r="G16" s="27">
        <v>1546839</v>
      </c>
      <c r="H16" s="27">
        <v>1004467</v>
      </c>
      <c r="I16" s="27">
        <v>338436</v>
      </c>
      <c r="J16" s="27">
        <v>84634</v>
      </c>
      <c r="K16" s="27">
        <v>2974376</v>
      </c>
      <c r="L16" s="29">
        <f t="shared" si="0"/>
        <v>2.3771057423550786E-2</v>
      </c>
    </row>
    <row r="17" spans="3:12" x14ac:dyDescent="0.35">
      <c r="F17" s="51" t="s">
        <v>8</v>
      </c>
      <c r="G17" s="27">
        <v>841561</v>
      </c>
      <c r="H17" s="27">
        <v>975305</v>
      </c>
      <c r="I17" s="27">
        <v>502187</v>
      </c>
      <c r="J17" s="27">
        <v>637166</v>
      </c>
      <c r="K17" s="27">
        <v>2956219</v>
      </c>
      <c r="L17" s="29">
        <f t="shared" si="0"/>
        <v>2.362594762921429E-2</v>
      </c>
    </row>
    <row r="18" spans="3:12" x14ac:dyDescent="0.35">
      <c r="F18" s="51" t="s">
        <v>113</v>
      </c>
      <c r="G18" s="27">
        <v>1016886</v>
      </c>
      <c r="H18" s="27">
        <v>867668</v>
      </c>
      <c r="I18" s="27">
        <v>1054135</v>
      </c>
      <c r="J18" s="27"/>
      <c r="K18" s="27">
        <v>2938689</v>
      </c>
      <c r="L18" s="29">
        <f t="shared" si="0"/>
        <v>2.3485848786083882E-2</v>
      </c>
    </row>
    <row r="19" spans="3:12" x14ac:dyDescent="0.35">
      <c r="F19" s="51" t="s">
        <v>119</v>
      </c>
      <c r="G19" s="27">
        <v>1348744</v>
      </c>
      <c r="H19" s="27">
        <v>333080</v>
      </c>
      <c r="I19" s="27">
        <v>1013596</v>
      </c>
      <c r="J19" s="27">
        <v>170002</v>
      </c>
      <c r="K19" s="27">
        <v>2865422</v>
      </c>
      <c r="L19" s="29">
        <f t="shared" si="0"/>
        <v>2.2900302754159441E-2</v>
      </c>
    </row>
    <row r="20" spans="3:12" x14ac:dyDescent="0.35">
      <c r="F20" s="51" t="s">
        <v>71</v>
      </c>
      <c r="G20" s="27">
        <v>1693624</v>
      </c>
      <c r="H20" s="27"/>
      <c r="I20" s="27">
        <v>829671</v>
      </c>
      <c r="J20" s="27">
        <v>340108</v>
      </c>
      <c r="K20" s="27">
        <v>2863403</v>
      </c>
      <c r="L20" s="29">
        <f t="shared" si="0"/>
        <v>2.2884167011758969E-2</v>
      </c>
    </row>
    <row r="21" spans="3:12" x14ac:dyDescent="0.35">
      <c r="F21" s="51" t="s">
        <v>101</v>
      </c>
      <c r="G21" s="27">
        <v>860557</v>
      </c>
      <c r="H21" s="27">
        <v>770091</v>
      </c>
      <c r="I21" s="27">
        <v>223256</v>
      </c>
      <c r="J21" s="27">
        <v>967098</v>
      </c>
      <c r="K21" s="27">
        <v>2821002</v>
      </c>
      <c r="L21" s="29">
        <f t="shared" si="0"/>
        <v>2.2545300437453644E-2</v>
      </c>
    </row>
    <row r="22" spans="3:12" x14ac:dyDescent="0.35">
      <c r="F22" s="51" t="s">
        <v>19</v>
      </c>
      <c r="G22" s="27">
        <v>264480</v>
      </c>
      <c r="H22" s="27">
        <v>323357</v>
      </c>
      <c r="I22" s="27">
        <v>785669</v>
      </c>
      <c r="J22" s="27">
        <v>1420177</v>
      </c>
      <c r="K22" s="27">
        <v>2793683</v>
      </c>
      <c r="L22" s="29">
        <f t="shared" si="0"/>
        <v>2.232696841831619E-2</v>
      </c>
    </row>
    <row r="23" spans="3:12" x14ac:dyDescent="0.35">
      <c r="F23" s="51" t="s">
        <v>91</v>
      </c>
      <c r="G23" s="27">
        <v>554708</v>
      </c>
      <c r="H23" s="27">
        <v>365282</v>
      </c>
      <c r="I23" s="27">
        <v>324707</v>
      </c>
      <c r="J23" s="27">
        <v>1502402</v>
      </c>
      <c r="K23" s="27">
        <v>2747099</v>
      </c>
      <c r="L23" s="29">
        <f t="shared" si="0"/>
        <v>2.1954671526793836E-2</v>
      </c>
    </row>
    <row r="24" spans="3:12" x14ac:dyDescent="0.35">
      <c r="F24" s="51" t="s">
        <v>107</v>
      </c>
      <c r="G24" s="27">
        <v>1964589</v>
      </c>
      <c r="H24" s="27">
        <v>306792</v>
      </c>
      <c r="I24" s="27">
        <v>459962</v>
      </c>
      <c r="J24" s="27"/>
      <c r="K24" s="27">
        <v>2731343</v>
      </c>
      <c r="L24" s="29">
        <f t="shared" si="0"/>
        <v>2.1828750398878109E-2</v>
      </c>
    </row>
    <row r="25" spans="3:12" x14ac:dyDescent="0.35">
      <c r="F25" s="51" t="s">
        <v>77</v>
      </c>
      <c r="G25" s="27">
        <v>373345</v>
      </c>
      <c r="H25" s="27">
        <v>862786</v>
      </c>
      <c r="I25" s="27">
        <v>348907</v>
      </c>
      <c r="J25" s="27">
        <v>1145492</v>
      </c>
      <c r="K25" s="27">
        <v>2730530</v>
      </c>
      <c r="L25" s="29">
        <f t="shared" si="0"/>
        <v>2.1822252945400356E-2</v>
      </c>
    </row>
    <row r="26" spans="3:12" x14ac:dyDescent="0.35">
      <c r="F26" s="51" t="s">
        <v>53</v>
      </c>
      <c r="G26" s="27">
        <v>997971</v>
      </c>
      <c r="H26" s="27">
        <v>199355</v>
      </c>
      <c r="I26" s="27">
        <v>1014106</v>
      </c>
      <c r="J26" s="27">
        <v>490192</v>
      </c>
      <c r="K26" s="27">
        <v>2701624</v>
      </c>
      <c r="L26" s="29">
        <f t="shared" si="0"/>
        <v>2.1591237705267583E-2</v>
      </c>
    </row>
    <row r="27" spans="3:12" x14ac:dyDescent="0.35">
      <c r="C27" s="18" t="s">
        <v>125</v>
      </c>
      <c r="D27" s="27" t="s">
        <v>162</v>
      </c>
      <c r="F27" s="51" t="s">
        <v>59</v>
      </c>
      <c r="G27" s="27">
        <v>468851</v>
      </c>
      <c r="H27" s="27">
        <v>1203739</v>
      </c>
      <c r="I27" s="27">
        <v>197630</v>
      </c>
      <c r="J27" s="27">
        <v>687581</v>
      </c>
      <c r="K27" s="27">
        <v>2557801</v>
      </c>
      <c r="L27" s="29">
        <f t="shared" si="0"/>
        <v>2.0441811811625573E-2</v>
      </c>
    </row>
    <row r="28" spans="3:12" x14ac:dyDescent="0.35">
      <c r="C28" s="19" t="s">
        <v>164</v>
      </c>
      <c r="D28" s="27">
        <v>11523638</v>
      </c>
      <c r="F28" s="51" t="s">
        <v>28</v>
      </c>
      <c r="G28" s="27">
        <v>332151</v>
      </c>
      <c r="H28" s="27">
        <v>126392</v>
      </c>
      <c r="I28" s="27">
        <v>407368</v>
      </c>
      <c r="J28" s="27">
        <v>1668459</v>
      </c>
      <c r="K28" s="27">
        <v>2534370</v>
      </c>
      <c r="L28" s="29">
        <f t="shared" si="0"/>
        <v>2.0254552485134497E-2</v>
      </c>
    </row>
    <row r="29" spans="3:12" x14ac:dyDescent="0.35">
      <c r="C29" s="19" t="s">
        <v>165</v>
      </c>
      <c r="D29" s="27">
        <v>10009608</v>
      </c>
      <c r="F29" s="51" t="s">
        <v>105</v>
      </c>
      <c r="G29" s="27">
        <v>54211</v>
      </c>
      <c r="H29" s="27">
        <v>259366</v>
      </c>
      <c r="I29" s="27">
        <v>800924</v>
      </c>
      <c r="J29" s="27">
        <v>1395233</v>
      </c>
      <c r="K29" s="27">
        <v>2509734</v>
      </c>
      <c r="L29" s="29">
        <f t="shared" si="0"/>
        <v>2.00576628616684E-2</v>
      </c>
    </row>
    <row r="30" spans="3:12" x14ac:dyDescent="0.35">
      <c r="C30" s="19" t="s">
        <v>166</v>
      </c>
      <c r="D30" s="27">
        <v>10425350</v>
      </c>
      <c r="F30" s="51" t="s">
        <v>79</v>
      </c>
      <c r="G30" s="27">
        <v>561044</v>
      </c>
      <c r="H30" s="27">
        <v>1068510</v>
      </c>
      <c r="I30" s="27">
        <v>256536</v>
      </c>
      <c r="J30" s="27">
        <v>610440</v>
      </c>
      <c r="K30" s="27">
        <v>2496530</v>
      </c>
      <c r="L30" s="29">
        <f t="shared" si="0"/>
        <v>1.9952137184275708E-2</v>
      </c>
    </row>
    <row r="31" spans="3:12" x14ac:dyDescent="0.35">
      <c r="C31" s="19" t="s">
        <v>167</v>
      </c>
      <c r="D31" s="27">
        <v>9958906</v>
      </c>
      <c r="F31" s="51" t="s">
        <v>47</v>
      </c>
      <c r="G31" s="27">
        <v>586680</v>
      </c>
      <c r="H31" s="27">
        <v>516475</v>
      </c>
      <c r="I31" s="27">
        <v>819268</v>
      </c>
      <c r="J31" s="27">
        <v>559499</v>
      </c>
      <c r="K31" s="27">
        <v>2481922</v>
      </c>
      <c r="L31" s="29">
        <f t="shared" si="0"/>
        <v>1.9835390812316268E-2</v>
      </c>
    </row>
    <row r="32" spans="3:12" x14ac:dyDescent="0.35">
      <c r="C32" s="19" t="s">
        <v>168</v>
      </c>
      <c r="D32" s="27">
        <v>11306658</v>
      </c>
      <c r="F32" s="51" t="s">
        <v>109</v>
      </c>
      <c r="G32" s="27">
        <v>319580</v>
      </c>
      <c r="H32" s="27">
        <v>1414933</v>
      </c>
      <c r="I32" s="27">
        <v>140474</v>
      </c>
      <c r="J32" s="27">
        <v>588344</v>
      </c>
      <c r="K32" s="27">
        <v>2463331</v>
      </c>
      <c r="L32" s="29">
        <f t="shared" si="0"/>
        <v>1.9686812512679223E-2</v>
      </c>
    </row>
    <row r="33" spans="3:12" x14ac:dyDescent="0.35">
      <c r="C33" s="19" t="s">
        <v>169</v>
      </c>
      <c r="D33" s="27">
        <v>10896250</v>
      </c>
      <c r="F33" s="51" t="s">
        <v>81</v>
      </c>
      <c r="G33" s="27">
        <v>485184</v>
      </c>
      <c r="H33" s="27">
        <v>298221</v>
      </c>
      <c r="I33" s="27">
        <v>920720</v>
      </c>
      <c r="J33" s="27">
        <v>756431</v>
      </c>
      <c r="K33" s="27">
        <v>2460556</v>
      </c>
      <c r="L33" s="29">
        <f t="shared" si="0"/>
        <v>1.9664634857819736E-2</v>
      </c>
    </row>
    <row r="34" spans="3:12" x14ac:dyDescent="0.35">
      <c r="C34" s="19" t="s">
        <v>170</v>
      </c>
      <c r="D34" s="27">
        <v>9618402</v>
      </c>
      <c r="F34" s="51" t="s">
        <v>87</v>
      </c>
      <c r="G34" s="27">
        <v>168586</v>
      </c>
      <c r="H34" s="27">
        <v>658480</v>
      </c>
      <c r="I34" s="27">
        <v>466893</v>
      </c>
      <c r="J34" s="27">
        <v>1137431</v>
      </c>
      <c r="K34" s="27">
        <v>2431390</v>
      </c>
      <c r="L34" s="29">
        <f t="shared" si="0"/>
        <v>1.9431541711285711E-2</v>
      </c>
    </row>
    <row r="35" spans="3:12" x14ac:dyDescent="0.35">
      <c r="C35" s="19" t="s">
        <v>171</v>
      </c>
      <c r="D35" s="27">
        <v>10361972</v>
      </c>
      <c r="F35" s="51" t="s">
        <v>57</v>
      </c>
      <c r="G35" s="27">
        <v>667870</v>
      </c>
      <c r="H35" s="27">
        <v>452005</v>
      </c>
      <c r="I35" s="27">
        <v>491508</v>
      </c>
      <c r="J35" s="27">
        <v>786250</v>
      </c>
      <c r="K35" s="27">
        <v>2397633</v>
      </c>
      <c r="L35" s="29">
        <f t="shared" si="0"/>
        <v>1.9161757532874236E-2</v>
      </c>
    </row>
    <row r="36" spans="3:12" x14ac:dyDescent="0.35">
      <c r="C36" s="19" t="s">
        <v>172</v>
      </c>
      <c r="D36" s="27">
        <v>10595538</v>
      </c>
      <c r="F36" s="51" t="s">
        <v>15</v>
      </c>
      <c r="G36" s="27">
        <v>535814</v>
      </c>
      <c r="H36" s="27">
        <v>525692</v>
      </c>
      <c r="I36" s="27">
        <v>535291</v>
      </c>
      <c r="J36" s="27">
        <v>736648</v>
      </c>
      <c r="K36" s="27">
        <v>2333445</v>
      </c>
      <c r="L36" s="29">
        <f t="shared" si="0"/>
        <v>1.8648770394091893E-2</v>
      </c>
    </row>
    <row r="37" spans="3:12" x14ac:dyDescent="0.35">
      <c r="C37" s="19" t="s">
        <v>173</v>
      </c>
      <c r="D37" s="27">
        <v>10984339</v>
      </c>
      <c r="F37" s="51" t="s">
        <v>69</v>
      </c>
      <c r="G37" s="27">
        <v>708044</v>
      </c>
      <c r="H37" s="27">
        <v>566042</v>
      </c>
      <c r="I37" s="27">
        <v>704741</v>
      </c>
      <c r="J37" s="27">
        <v>245538</v>
      </c>
      <c r="K37" s="27">
        <v>2224365</v>
      </c>
      <c r="L37" s="29">
        <f t="shared" si="0"/>
        <v>1.7777008739290709E-2</v>
      </c>
    </row>
    <row r="38" spans="3:12" x14ac:dyDescent="0.35">
      <c r="C38" s="19" t="s">
        <v>174</v>
      </c>
      <c r="D38" s="27">
        <v>9989880</v>
      </c>
      <c r="F38" s="51" t="s">
        <v>85</v>
      </c>
      <c r="G38" s="27">
        <v>531987</v>
      </c>
      <c r="H38" s="27">
        <v>292066</v>
      </c>
      <c r="I38" s="27">
        <v>952965</v>
      </c>
      <c r="J38" s="27">
        <v>432027</v>
      </c>
      <c r="K38" s="27">
        <v>2209045</v>
      </c>
      <c r="L38" s="29">
        <f t="shared" si="0"/>
        <v>1.7654572100570927E-2</v>
      </c>
    </row>
    <row r="39" spans="3:12" x14ac:dyDescent="0.35">
      <c r="C39" s="19" t="s">
        <v>175</v>
      </c>
      <c r="D39" s="27">
        <v>9455403</v>
      </c>
      <c r="F39" s="51" t="s">
        <v>89</v>
      </c>
      <c r="G39" s="27">
        <v>1243560</v>
      </c>
      <c r="H39" s="27">
        <v>231550</v>
      </c>
      <c r="I39" s="27">
        <v>487910</v>
      </c>
      <c r="J39" s="27">
        <v>231670</v>
      </c>
      <c r="K39" s="27">
        <v>2194690</v>
      </c>
      <c r="L39" s="29">
        <f t="shared" ref="L39:L57" si="1">K39/125125944</f>
        <v>1.7539847691378854E-2</v>
      </c>
    </row>
    <row r="40" spans="3:12" x14ac:dyDescent="0.35">
      <c r="C40" s="19" t="s">
        <v>151</v>
      </c>
      <c r="D40" s="27">
        <v>125125944</v>
      </c>
      <c r="F40" s="51" t="s">
        <v>65</v>
      </c>
      <c r="G40" s="27">
        <v>1036735</v>
      </c>
      <c r="H40" s="27">
        <v>417057</v>
      </c>
      <c r="I40" s="27">
        <v>657599</v>
      </c>
      <c r="J40" s="27">
        <v>18167</v>
      </c>
      <c r="K40" s="27">
        <v>2129558</v>
      </c>
      <c r="L40" s="29">
        <f t="shared" si="1"/>
        <v>1.7019316153970433E-2</v>
      </c>
    </row>
    <row r="41" spans="3:12" x14ac:dyDescent="0.35">
      <c r="F41" s="51" t="s">
        <v>51</v>
      </c>
      <c r="G41" s="27">
        <v>900068</v>
      </c>
      <c r="H41" s="27">
        <v>264286</v>
      </c>
      <c r="I41" s="27">
        <v>330541</v>
      </c>
      <c r="J41" s="27">
        <v>608691</v>
      </c>
      <c r="K41" s="27">
        <v>2103586</v>
      </c>
      <c r="L41" s="29">
        <f t="shared" si="1"/>
        <v>1.6811749288380994E-2</v>
      </c>
    </row>
    <row r="42" spans="3:12" x14ac:dyDescent="0.35">
      <c r="F42" s="51" t="s">
        <v>33</v>
      </c>
      <c r="G42" s="27">
        <v>473499</v>
      </c>
      <c r="H42" s="27">
        <v>266928</v>
      </c>
      <c r="I42" s="27">
        <v>1319518</v>
      </c>
      <c r="J42" s="27">
        <v>26341</v>
      </c>
      <c r="K42" s="27">
        <v>2086286</v>
      </c>
      <c r="L42" s="29">
        <f t="shared" si="1"/>
        <v>1.6673488593220924E-2</v>
      </c>
    </row>
    <row r="43" spans="3:12" x14ac:dyDescent="0.35">
      <c r="F43" s="51" t="s">
        <v>83</v>
      </c>
      <c r="G43" s="27">
        <v>604233</v>
      </c>
      <c r="H43" s="27">
        <v>763944</v>
      </c>
      <c r="I43" s="27">
        <v>336140</v>
      </c>
      <c r="J43" s="27">
        <v>340462</v>
      </c>
      <c r="K43" s="27">
        <v>2044779</v>
      </c>
      <c r="L43" s="29">
        <f t="shared" si="1"/>
        <v>1.6341766820156818E-2</v>
      </c>
    </row>
    <row r="44" spans="3:12" x14ac:dyDescent="0.35">
      <c r="F44" s="51" t="s">
        <v>95</v>
      </c>
      <c r="G44" s="27">
        <v>893717</v>
      </c>
      <c r="H44" s="27">
        <v>525091</v>
      </c>
      <c r="I44" s="27">
        <v>533377</v>
      </c>
      <c r="J44" s="27">
        <v>26928</v>
      </c>
      <c r="K44" s="27">
        <v>1979113</v>
      </c>
      <c r="L44" s="29">
        <f t="shared" si="1"/>
        <v>1.5816967582678136E-2</v>
      </c>
    </row>
    <row r="45" spans="3:12" x14ac:dyDescent="0.35">
      <c r="F45" s="51" t="s">
        <v>36</v>
      </c>
      <c r="G45" s="27">
        <v>344442</v>
      </c>
      <c r="H45" s="27">
        <v>208024</v>
      </c>
      <c r="I45" s="27">
        <v>713860</v>
      </c>
      <c r="J45" s="27">
        <v>665282</v>
      </c>
      <c r="K45" s="27">
        <v>1931608</v>
      </c>
      <c r="L45" s="29">
        <f t="shared" si="1"/>
        <v>1.5437310107326742E-2</v>
      </c>
    </row>
    <row r="46" spans="3:12" x14ac:dyDescent="0.35">
      <c r="F46" s="51" t="s">
        <v>103</v>
      </c>
      <c r="G46" s="27">
        <v>504114</v>
      </c>
      <c r="H46" s="27">
        <v>774578</v>
      </c>
      <c r="I46" s="27">
        <v>348680</v>
      </c>
      <c r="J46" s="27">
        <v>235026</v>
      </c>
      <c r="K46" s="27">
        <v>1862398</v>
      </c>
      <c r="L46" s="29">
        <f t="shared" si="1"/>
        <v>1.4884187407209492E-2</v>
      </c>
    </row>
    <row r="47" spans="3:12" x14ac:dyDescent="0.35">
      <c r="F47" s="51" t="s">
        <v>63</v>
      </c>
      <c r="G47" s="27">
        <v>642929</v>
      </c>
      <c r="H47" s="27">
        <v>122798</v>
      </c>
      <c r="I47" s="27">
        <v>936657</v>
      </c>
      <c r="J47" s="27">
        <v>154686</v>
      </c>
      <c r="K47" s="27">
        <v>1857070</v>
      </c>
      <c r="L47" s="29">
        <f t="shared" si="1"/>
        <v>1.4841606309879268E-2</v>
      </c>
    </row>
    <row r="48" spans="3:12" x14ac:dyDescent="0.35">
      <c r="F48" s="51" t="s">
        <v>55</v>
      </c>
      <c r="G48" s="27">
        <v>109785</v>
      </c>
      <c r="H48" s="27">
        <v>423916</v>
      </c>
      <c r="I48" s="27">
        <v>1093362</v>
      </c>
      <c r="J48" s="27">
        <v>220710</v>
      </c>
      <c r="K48" s="27">
        <v>1847773</v>
      </c>
      <c r="L48" s="29">
        <f t="shared" si="1"/>
        <v>1.47673051721392E-2</v>
      </c>
    </row>
    <row r="49" spans="6:12" x14ac:dyDescent="0.35">
      <c r="F49" s="51" t="s">
        <v>61</v>
      </c>
      <c r="G49" s="27">
        <v>272323</v>
      </c>
      <c r="H49" s="27">
        <v>440194</v>
      </c>
      <c r="I49" s="27">
        <v>198204</v>
      </c>
      <c r="J49" s="27">
        <v>914787</v>
      </c>
      <c r="K49" s="27">
        <v>1825508</v>
      </c>
      <c r="L49" s="29">
        <f t="shared" si="1"/>
        <v>1.458936445666296E-2</v>
      </c>
    </row>
    <row r="50" spans="6:12" x14ac:dyDescent="0.35">
      <c r="F50" s="51" t="s">
        <v>111</v>
      </c>
      <c r="G50" s="27">
        <v>217318</v>
      </c>
      <c r="H50" s="27">
        <v>390409</v>
      </c>
      <c r="I50" s="27">
        <v>1017201</v>
      </c>
      <c r="J50" s="27">
        <v>173848</v>
      </c>
      <c r="K50" s="27">
        <v>1798776</v>
      </c>
      <c r="L50" s="29">
        <f t="shared" si="1"/>
        <v>1.4375723710823712E-2</v>
      </c>
    </row>
    <row r="51" spans="6:12" x14ac:dyDescent="0.35">
      <c r="F51" s="51" t="s">
        <v>99</v>
      </c>
      <c r="G51" s="27">
        <v>410026</v>
      </c>
      <c r="H51" s="27">
        <v>574997</v>
      </c>
      <c r="I51" s="27">
        <v>282581</v>
      </c>
      <c r="J51" s="27">
        <v>522772</v>
      </c>
      <c r="K51" s="27">
        <v>1790376</v>
      </c>
      <c r="L51" s="29">
        <f t="shared" si="1"/>
        <v>1.4308591350167956E-2</v>
      </c>
    </row>
    <row r="52" spans="6:12" x14ac:dyDescent="0.35">
      <c r="F52" s="51" t="s">
        <v>97</v>
      </c>
      <c r="G52" s="27">
        <v>267410</v>
      </c>
      <c r="H52" s="27">
        <v>57810</v>
      </c>
      <c r="I52" s="27">
        <v>995232</v>
      </c>
      <c r="J52" s="27">
        <v>403370</v>
      </c>
      <c r="K52" s="27">
        <v>1723822</v>
      </c>
      <c r="L52" s="29">
        <f t="shared" si="1"/>
        <v>1.3776695263134239E-2</v>
      </c>
    </row>
    <row r="53" spans="6:12" x14ac:dyDescent="0.35">
      <c r="F53" s="51" t="s">
        <v>93</v>
      </c>
      <c r="G53" s="27">
        <v>675362</v>
      </c>
      <c r="H53" s="27">
        <v>312625</v>
      </c>
      <c r="I53" s="27">
        <v>346945</v>
      </c>
      <c r="J53" s="27">
        <v>372376</v>
      </c>
      <c r="K53" s="27">
        <v>1707308</v>
      </c>
      <c r="L53" s="29">
        <f t="shared" si="1"/>
        <v>1.36447162388641E-2</v>
      </c>
    </row>
    <row r="54" spans="6:12" x14ac:dyDescent="0.35">
      <c r="F54" s="51" t="s">
        <v>39</v>
      </c>
      <c r="G54" s="27">
        <v>766343</v>
      </c>
      <c r="H54" s="27">
        <v>318790</v>
      </c>
      <c r="I54" s="27">
        <v>458337</v>
      </c>
      <c r="J54" s="27">
        <v>136734</v>
      </c>
      <c r="K54" s="27">
        <v>1680204</v>
      </c>
      <c r="L54" s="29">
        <f t="shared" si="1"/>
        <v>1.3428102488481525E-2</v>
      </c>
    </row>
    <row r="55" spans="6:12" x14ac:dyDescent="0.35">
      <c r="F55" s="51" t="s">
        <v>117</v>
      </c>
      <c r="G55" s="27">
        <v>263083</v>
      </c>
      <c r="H55" s="27">
        <v>297328</v>
      </c>
      <c r="I55" s="27">
        <v>599772</v>
      </c>
      <c r="J55" s="27">
        <v>327238</v>
      </c>
      <c r="K55" s="27">
        <v>1487421</v>
      </c>
      <c r="L55" s="29">
        <f t="shared" si="1"/>
        <v>1.1887390835588822E-2</v>
      </c>
    </row>
    <row r="56" spans="6:12" x14ac:dyDescent="0.35">
      <c r="F56" s="51" t="s">
        <v>49</v>
      </c>
      <c r="G56" s="27">
        <v>314870</v>
      </c>
      <c r="H56" s="27">
        <v>231966</v>
      </c>
      <c r="I56" s="27">
        <v>248821</v>
      </c>
      <c r="J56" s="27">
        <v>576822</v>
      </c>
      <c r="K56" s="27">
        <v>1372479</v>
      </c>
      <c r="L56" s="29">
        <f t="shared" si="1"/>
        <v>1.0968780383387158E-2</v>
      </c>
    </row>
    <row r="57" spans="6:12" x14ac:dyDescent="0.35">
      <c r="F57" s="51" t="s">
        <v>151</v>
      </c>
      <c r="G57" s="27">
        <v>34386026</v>
      </c>
      <c r="H57" s="27">
        <v>26597311</v>
      </c>
      <c r="I57" s="27">
        <v>31708927</v>
      </c>
      <c r="J57" s="27">
        <v>32433680</v>
      </c>
      <c r="K57" s="27">
        <v>125125944</v>
      </c>
      <c r="L57" s="30">
        <f t="shared" si="1"/>
        <v>1</v>
      </c>
    </row>
    <row r="82" spans="4:4" x14ac:dyDescent="0.35">
      <c r="D82"/>
    </row>
    <row r="83" spans="4:4" x14ac:dyDescent="0.35">
      <c r="D83"/>
    </row>
    <row r="84" spans="4:4" x14ac:dyDescent="0.35">
      <c r="D84"/>
    </row>
    <row r="85" spans="4:4" x14ac:dyDescent="0.35">
      <c r="D85"/>
    </row>
    <row r="86" spans="4:4" x14ac:dyDescent="0.35">
      <c r="D86"/>
    </row>
    <row r="87" spans="4:4" x14ac:dyDescent="0.35">
      <c r="D87"/>
    </row>
    <row r="88" spans="4:4" x14ac:dyDescent="0.35">
      <c r="D88"/>
    </row>
    <row r="89" spans="4:4" x14ac:dyDescent="0.35">
      <c r="D89"/>
    </row>
    <row r="90" spans="4:4" x14ac:dyDescent="0.35">
      <c r="D90"/>
    </row>
    <row r="91" spans="4:4" x14ac:dyDescent="0.35">
      <c r="D91"/>
    </row>
    <row r="92" spans="4:4" x14ac:dyDescent="0.35">
      <c r="D92"/>
    </row>
    <row r="93" spans="4:4" x14ac:dyDescent="0.35">
      <c r="D93"/>
    </row>
    <row r="94" spans="4:4" x14ac:dyDescent="0.35">
      <c r="D94"/>
    </row>
    <row r="95" spans="4:4" x14ac:dyDescent="0.35">
      <c r="D95"/>
    </row>
    <row r="96" spans="4:4" x14ac:dyDescent="0.35">
      <c r="D96"/>
    </row>
    <row r="97" spans="4:4" x14ac:dyDescent="0.35">
      <c r="D97"/>
    </row>
    <row r="98" spans="4:4" x14ac:dyDescent="0.35">
      <c r="D98"/>
    </row>
    <row r="99" spans="4:4" x14ac:dyDescent="0.35">
      <c r="D99"/>
    </row>
    <row r="100" spans="4:4" x14ac:dyDescent="0.35">
      <c r="D100"/>
    </row>
    <row r="101" spans="4:4" x14ac:dyDescent="0.35">
      <c r="D101"/>
    </row>
    <row r="102" spans="4:4" x14ac:dyDescent="0.35">
      <c r="D102"/>
    </row>
    <row r="103" spans="4:4" x14ac:dyDescent="0.35">
      <c r="D103"/>
    </row>
    <row r="104" spans="4:4" x14ac:dyDescent="0.35">
      <c r="D104"/>
    </row>
    <row r="105" spans="4:4" x14ac:dyDescent="0.35">
      <c r="D105"/>
    </row>
    <row r="106" spans="4:4" x14ac:dyDescent="0.35">
      <c r="D106"/>
    </row>
    <row r="107" spans="4:4" x14ac:dyDescent="0.35">
      <c r="D107"/>
    </row>
    <row r="108" spans="4:4" x14ac:dyDescent="0.35">
      <c r="D108"/>
    </row>
    <row r="109" spans="4:4" x14ac:dyDescent="0.35">
      <c r="D109"/>
    </row>
    <row r="110" spans="4:4" x14ac:dyDescent="0.35">
      <c r="D110"/>
    </row>
    <row r="111" spans="4:4" x14ac:dyDescent="0.35">
      <c r="D111"/>
    </row>
    <row r="112" spans="4:4" x14ac:dyDescent="0.35">
      <c r="D112"/>
    </row>
    <row r="113" spans="4:4" x14ac:dyDescent="0.35">
      <c r="D113"/>
    </row>
    <row r="114" spans="4:4" x14ac:dyDescent="0.35">
      <c r="D114"/>
    </row>
    <row r="115" spans="4:4" x14ac:dyDescent="0.35">
      <c r="D115"/>
    </row>
    <row r="116" spans="4:4" x14ac:dyDescent="0.35">
      <c r="D116"/>
    </row>
    <row r="117" spans="4:4" x14ac:dyDescent="0.35">
      <c r="D117"/>
    </row>
    <row r="118" spans="4:4" x14ac:dyDescent="0.35">
      <c r="D118"/>
    </row>
    <row r="119" spans="4:4" x14ac:dyDescent="0.35">
      <c r="D119"/>
    </row>
    <row r="120" spans="4:4" x14ac:dyDescent="0.35">
      <c r="D120"/>
    </row>
    <row r="121" spans="4:4" x14ac:dyDescent="0.35">
      <c r="D121"/>
    </row>
    <row r="122" spans="4:4" x14ac:dyDescent="0.35">
      <c r="D122"/>
    </row>
    <row r="123" spans="4:4" x14ac:dyDescent="0.35">
      <c r="D123"/>
    </row>
    <row r="124" spans="4:4" x14ac:dyDescent="0.35">
      <c r="D124"/>
    </row>
    <row r="125" spans="4:4" x14ac:dyDescent="0.35">
      <c r="D125"/>
    </row>
    <row r="126" spans="4:4" x14ac:dyDescent="0.35">
      <c r="D126"/>
    </row>
    <row r="127" spans="4:4" x14ac:dyDescent="0.35">
      <c r="D127"/>
    </row>
    <row r="128" spans="4:4" x14ac:dyDescent="0.35">
      <c r="D128"/>
    </row>
    <row r="129" spans="4:4" x14ac:dyDescent="0.35">
      <c r="D129"/>
    </row>
    <row r="130" spans="4:4" x14ac:dyDescent="0.35">
      <c r="D130"/>
    </row>
    <row r="131" spans="4:4" x14ac:dyDescent="0.35">
      <c r="D131"/>
    </row>
    <row r="132" spans="4:4" x14ac:dyDescent="0.35">
      <c r="D132"/>
    </row>
    <row r="133" spans="4:4" x14ac:dyDescent="0.35">
      <c r="D133"/>
    </row>
    <row r="134" spans="4:4" x14ac:dyDescent="0.35">
      <c r="D134"/>
    </row>
    <row r="135" spans="4:4" x14ac:dyDescent="0.35">
      <c r="D135"/>
    </row>
    <row r="136" spans="4:4" x14ac:dyDescent="0.35">
      <c r="D136"/>
    </row>
    <row r="137" spans="4:4" x14ac:dyDescent="0.35">
      <c r="D137"/>
    </row>
    <row r="138" spans="4:4" x14ac:dyDescent="0.35">
      <c r="D138"/>
    </row>
    <row r="139" spans="4:4" x14ac:dyDescent="0.35">
      <c r="D139"/>
    </row>
    <row r="140" spans="4:4" x14ac:dyDescent="0.35">
      <c r="D140"/>
    </row>
    <row r="141" spans="4:4" x14ac:dyDescent="0.35">
      <c r="D141"/>
    </row>
    <row r="142" spans="4:4" x14ac:dyDescent="0.35">
      <c r="D142"/>
    </row>
    <row r="143" spans="4:4" x14ac:dyDescent="0.35">
      <c r="D143"/>
    </row>
    <row r="144" spans="4:4" x14ac:dyDescent="0.35">
      <c r="D144"/>
    </row>
    <row r="145" spans="4:4" x14ac:dyDescent="0.35">
      <c r="D145"/>
    </row>
    <row r="146" spans="4:4" x14ac:dyDescent="0.35">
      <c r="D146"/>
    </row>
    <row r="147" spans="4:4" x14ac:dyDescent="0.35">
      <c r="D147"/>
    </row>
    <row r="148" spans="4:4" x14ac:dyDescent="0.35">
      <c r="D148"/>
    </row>
    <row r="149" spans="4:4" x14ac:dyDescent="0.35">
      <c r="D149"/>
    </row>
    <row r="150" spans="4:4" x14ac:dyDescent="0.35">
      <c r="D150"/>
    </row>
    <row r="151" spans="4:4" x14ac:dyDescent="0.35">
      <c r="D151"/>
    </row>
    <row r="152" spans="4:4" x14ac:dyDescent="0.35">
      <c r="D152"/>
    </row>
    <row r="153" spans="4:4" x14ac:dyDescent="0.35">
      <c r="D153"/>
    </row>
    <row r="154" spans="4:4" x14ac:dyDescent="0.35">
      <c r="D154"/>
    </row>
    <row r="155" spans="4:4" x14ac:dyDescent="0.35">
      <c r="D155"/>
    </row>
    <row r="156" spans="4:4" x14ac:dyDescent="0.35">
      <c r="D156"/>
    </row>
    <row r="157" spans="4:4" x14ac:dyDescent="0.35">
      <c r="D157"/>
    </row>
    <row r="158" spans="4:4" x14ac:dyDescent="0.35">
      <c r="D158"/>
    </row>
    <row r="159" spans="4:4" x14ac:dyDescent="0.35">
      <c r="D159"/>
    </row>
    <row r="160" spans="4:4" x14ac:dyDescent="0.35">
      <c r="D160"/>
    </row>
    <row r="161" spans="4:4" x14ac:dyDescent="0.35">
      <c r="D161"/>
    </row>
    <row r="162" spans="4:4" x14ac:dyDescent="0.35">
      <c r="D162"/>
    </row>
    <row r="163" spans="4:4" x14ac:dyDescent="0.35">
      <c r="D163"/>
    </row>
    <row r="164" spans="4:4" x14ac:dyDescent="0.35">
      <c r="D164"/>
    </row>
    <row r="165" spans="4:4" x14ac:dyDescent="0.35">
      <c r="D165"/>
    </row>
    <row r="166" spans="4:4" x14ac:dyDescent="0.35">
      <c r="D166"/>
    </row>
    <row r="167" spans="4:4" x14ac:dyDescent="0.35">
      <c r="D167"/>
    </row>
    <row r="168" spans="4:4" x14ac:dyDescent="0.35">
      <c r="D168"/>
    </row>
    <row r="169" spans="4:4" x14ac:dyDescent="0.35">
      <c r="D169"/>
    </row>
    <row r="170" spans="4:4" x14ac:dyDescent="0.35">
      <c r="D170"/>
    </row>
    <row r="171" spans="4:4" x14ac:dyDescent="0.35">
      <c r="D171"/>
    </row>
    <row r="172" spans="4:4" x14ac:dyDescent="0.35">
      <c r="D172"/>
    </row>
    <row r="173" spans="4:4" x14ac:dyDescent="0.35">
      <c r="D173"/>
    </row>
    <row r="174" spans="4:4" x14ac:dyDescent="0.35">
      <c r="D174"/>
    </row>
    <row r="175" spans="4:4" x14ac:dyDescent="0.35">
      <c r="D175"/>
    </row>
    <row r="176" spans="4:4" x14ac:dyDescent="0.35">
      <c r="D176"/>
    </row>
    <row r="177" spans="4:4" x14ac:dyDescent="0.35">
      <c r="D177"/>
    </row>
    <row r="178" spans="4:4" x14ac:dyDescent="0.35">
      <c r="D178"/>
    </row>
    <row r="179" spans="4:4" x14ac:dyDescent="0.35">
      <c r="D179"/>
    </row>
    <row r="180" spans="4:4" x14ac:dyDescent="0.35">
      <c r="D180"/>
    </row>
    <row r="181" spans="4:4" x14ac:dyDescent="0.35">
      <c r="D181"/>
    </row>
    <row r="182" spans="4:4" x14ac:dyDescent="0.35">
      <c r="D182"/>
    </row>
    <row r="183" spans="4:4" x14ac:dyDescent="0.35">
      <c r="D183"/>
    </row>
    <row r="184" spans="4:4" x14ac:dyDescent="0.35">
      <c r="D184"/>
    </row>
    <row r="185" spans="4:4" x14ac:dyDescent="0.35">
      <c r="D185"/>
    </row>
    <row r="186" spans="4:4" x14ac:dyDescent="0.35">
      <c r="D186"/>
    </row>
    <row r="187" spans="4:4" x14ac:dyDescent="0.35">
      <c r="D187"/>
    </row>
    <row r="188" spans="4:4" x14ac:dyDescent="0.35">
      <c r="D188"/>
    </row>
    <row r="189" spans="4:4" x14ac:dyDescent="0.35">
      <c r="D189"/>
    </row>
    <row r="190" spans="4:4" x14ac:dyDescent="0.35">
      <c r="D190"/>
    </row>
    <row r="191" spans="4:4" x14ac:dyDescent="0.35">
      <c r="D191"/>
    </row>
    <row r="192" spans="4:4" x14ac:dyDescent="0.35">
      <c r="D192"/>
    </row>
    <row r="193" spans="4:4" x14ac:dyDescent="0.35">
      <c r="D193"/>
    </row>
    <row r="194" spans="4:4" x14ac:dyDescent="0.35">
      <c r="D194"/>
    </row>
    <row r="195" spans="4:4" x14ac:dyDescent="0.35">
      <c r="D195"/>
    </row>
    <row r="196" spans="4:4" x14ac:dyDescent="0.35">
      <c r="D196"/>
    </row>
    <row r="197" spans="4:4" x14ac:dyDescent="0.35">
      <c r="D197"/>
    </row>
    <row r="198" spans="4:4" x14ac:dyDescent="0.35">
      <c r="D198"/>
    </row>
    <row r="199" spans="4:4" x14ac:dyDescent="0.35">
      <c r="D199"/>
    </row>
    <row r="200" spans="4:4" x14ac:dyDescent="0.35">
      <c r="D200"/>
    </row>
    <row r="201" spans="4:4" x14ac:dyDescent="0.35">
      <c r="D201"/>
    </row>
    <row r="202" spans="4:4" x14ac:dyDescent="0.35">
      <c r="D202"/>
    </row>
    <row r="203" spans="4:4" x14ac:dyDescent="0.35">
      <c r="D203"/>
    </row>
    <row r="204" spans="4:4" x14ac:dyDescent="0.35">
      <c r="D204"/>
    </row>
    <row r="205" spans="4:4" x14ac:dyDescent="0.35">
      <c r="D205"/>
    </row>
    <row r="206" spans="4:4" x14ac:dyDescent="0.35">
      <c r="D206"/>
    </row>
    <row r="207" spans="4:4" x14ac:dyDescent="0.35">
      <c r="D207"/>
    </row>
    <row r="208" spans="4:4" x14ac:dyDescent="0.35">
      <c r="D208"/>
    </row>
    <row r="209" spans="4:4" x14ac:dyDescent="0.35">
      <c r="D209"/>
    </row>
    <row r="210" spans="4:4" x14ac:dyDescent="0.35">
      <c r="D210"/>
    </row>
    <row r="211" spans="4:4" x14ac:dyDescent="0.35">
      <c r="D211"/>
    </row>
    <row r="212" spans="4:4" x14ac:dyDescent="0.35">
      <c r="D212"/>
    </row>
    <row r="213" spans="4:4" x14ac:dyDescent="0.35">
      <c r="D213"/>
    </row>
    <row r="214" spans="4:4" x14ac:dyDescent="0.35">
      <c r="D214"/>
    </row>
    <row r="215" spans="4:4" x14ac:dyDescent="0.35">
      <c r="D215"/>
    </row>
    <row r="216" spans="4:4" x14ac:dyDescent="0.35">
      <c r="D216"/>
    </row>
    <row r="217" spans="4:4" x14ac:dyDescent="0.35">
      <c r="D217"/>
    </row>
    <row r="218" spans="4:4" x14ac:dyDescent="0.35">
      <c r="D218"/>
    </row>
    <row r="219" spans="4:4" x14ac:dyDescent="0.35">
      <c r="D219"/>
    </row>
    <row r="220" spans="4:4" x14ac:dyDescent="0.35">
      <c r="D220"/>
    </row>
    <row r="221" spans="4:4" x14ac:dyDescent="0.35">
      <c r="D221"/>
    </row>
    <row r="222" spans="4:4" x14ac:dyDescent="0.35">
      <c r="D222"/>
    </row>
    <row r="223" spans="4:4" x14ac:dyDescent="0.35">
      <c r="D223"/>
    </row>
    <row r="224" spans="4:4" x14ac:dyDescent="0.35">
      <c r="D224"/>
    </row>
    <row r="225" spans="4:4" x14ac:dyDescent="0.35">
      <c r="D225"/>
    </row>
    <row r="226" spans="4:4" x14ac:dyDescent="0.35">
      <c r="D226"/>
    </row>
    <row r="227" spans="4:4" x14ac:dyDescent="0.35">
      <c r="D227"/>
    </row>
    <row r="228" spans="4:4" x14ac:dyDescent="0.35">
      <c r="D228"/>
    </row>
    <row r="229" spans="4:4" x14ac:dyDescent="0.35">
      <c r="D229"/>
    </row>
    <row r="230" spans="4:4" x14ac:dyDescent="0.35">
      <c r="D230"/>
    </row>
    <row r="231" spans="4:4" x14ac:dyDescent="0.35">
      <c r="D231"/>
    </row>
    <row r="232" spans="4:4" x14ac:dyDescent="0.35">
      <c r="D232"/>
    </row>
    <row r="233" spans="4:4" x14ac:dyDescent="0.35">
      <c r="D233"/>
    </row>
    <row r="234" spans="4:4" x14ac:dyDescent="0.35">
      <c r="D234"/>
    </row>
    <row r="235" spans="4:4" x14ac:dyDescent="0.35">
      <c r="D235"/>
    </row>
    <row r="236" spans="4:4" x14ac:dyDescent="0.35">
      <c r="D236"/>
    </row>
    <row r="237" spans="4:4" x14ac:dyDescent="0.35">
      <c r="D237"/>
    </row>
    <row r="238" spans="4:4" x14ac:dyDescent="0.35">
      <c r="D238"/>
    </row>
    <row r="239" spans="4:4" x14ac:dyDescent="0.35">
      <c r="D239"/>
    </row>
    <row r="240" spans="4:4" x14ac:dyDescent="0.35">
      <c r="D240"/>
    </row>
    <row r="241" spans="4:4" x14ac:dyDescent="0.35">
      <c r="D241"/>
    </row>
    <row r="242" spans="4:4" x14ac:dyDescent="0.35">
      <c r="D242"/>
    </row>
    <row r="243" spans="4:4" x14ac:dyDescent="0.35">
      <c r="D243"/>
    </row>
    <row r="244" spans="4:4" x14ac:dyDescent="0.35">
      <c r="D244"/>
    </row>
    <row r="245" spans="4:4" x14ac:dyDescent="0.35">
      <c r="D245"/>
    </row>
    <row r="246" spans="4:4" x14ac:dyDescent="0.35">
      <c r="D246"/>
    </row>
    <row r="247" spans="4:4" x14ac:dyDescent="0.35">
      <c r="D247"/>
    </row>
    <row r="248" spans="4:4" x14ac:dyDescent="0.35">
      <c r="D248"/>
    </row>
    <row r="249" spans="4:4" x14ac:dyDescent="0.35">
      <c r="D249"/>
    </row>
    <row r="250" spans="4:4" x14ac:dyDescent="0.35">
      <c r="D250"/>
    </row>
    <row r="251" spans="4:4" x14ac:dyDescent="0.35">
      <c r="D251"/>
    </row>
    <row r="252" spans="4:4" x14ac:dyDescent="0.35">
      <c r="D252"/>
    </row>
    <row r="253" spans="4:4" x14ac:dyDescent="0.35">
      <c r="D253"/>
    </row>
    <row r="254" spans="4:4" x14ac:dyDescent="0.35">
      <c r="D254"/>
    </row>
    <row r="255" spans="4:4" x14ac:dyDescent="0.35">
      <c r="D255"/>
    </row>
    <row r="256" spans="4:4" x14ac:dyDescent="0.35">
      <c r="D256"/>
    </row>
    <row r="257" spans="4:4" x14ac:dyDescent="0.35">
      <c r="D257"/>
    </row>
    <row r="258" spans="4:4" x14ac:dyDescent="0.35">
      <c r="D258"/>
    </row>
    <row r="259" spans="4:4" x14ac:dyDescent="0.35">
      <c r="D259"/>
    </row>
    <row r="260" spans="4:4" x14ac:dyDescent="0.35">
      <c r="D260"/>
    </row>
    <row r="261" spans="4:4" x14ac:dyDescent="0.35">
      <c r="D261"/>
    </row>
    <row r="262" spans="4:4" x14ac:dyDescent="0.35">
      <c r="D262"/>
    </row>
    <row r="263" spans="4:4" x14ac:dyDescent="0.35">
      <c r="D263"/>
    </row>
    <row r="264" spans="4:4" x14ac:dyDescent="0.35">
      <c r="D264"/>
    </row>
    <row r="265" spans="4:4" x14ac:dyDescent="0.35">
      <c r="D265"/>
    </row>
    <row r="266" spans="4:4" x14ac:dyDescent="0.35">
      <c r="D266"/>
    </row>
    <row r="267" spans="4:4" x14ac:dyDescent="0.35">
      <c r="D267"/>
    </row>
    <row r="268" spans="4:4" x14ac:dyDescent="0.35">
      <c r="D268"/>
    </row>
    <row r="269" spans="4:4" x14ac:dyDescent="0.35">
      <c r="D269"/>
    </row>
    <row r="270" spans="4:4" x14ac:dyDescent="0.35">
      <c r="D270"/>
    </row>
    <row r="271" spans="4:4" x14ac:dyDescent="0.35">
      <c r="D271"/>
    </row>
    <row r="272" spans="4:4" x14ac:dyDescent="0.35">
      <c r="D272"/>
    </row>
    <row r="273" spans="4:4" x14ac:dyDescent="0.35">
      <c r="D273"/>
    </row>
    <row r="274" spans="4:4" x14ac:dyDescent="0.35">
      <c r="D274"/>
    </row>
    <row r="275" spans="4:4" x14ac:dyDescent="0.35">
      <c r="D275"/>
    </row>
    <row r="276" spans="4:4" x14ac:dyDescent="0.35">
      <c r="D276"/>
    </row>
  </sheetData>
  <mergeCells count="2">
    <mergeCell ref="L5:L6"/>
    <mergeCell ref="C2:L3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E55" sqref="E55"/>
    </sheetView>
  </sheetViews>
  <sheetFormatPr defaultRowHeight="14.5" x14ac:dyDescent="0.35"/>
  <cols>
    <col min="1" max="1" width="12.26953125" customWidth="1"/>
    <col min="2" max="2" width="15.36328125" customWidth="1"/>
    <col min="3" max="3" width="14.81640625" customWidth="1"/>
    <col min="4" max="4" width="17.08984375" customWidth="1"/>
    <col min="5" max="5" width="16.81640625" customWidth="1"/>
    <col min="6" max="6" width="13.54296875" customWidth="1"/>
    <col min="7" max="7" width="15" customWidth="1"/>
    <col min="8" max="8" width="16.1796875" bestFit="1" customWidth="1"/>
  </cols>
  <sheetData>
    <row r="1" spans="1:8" x14ac:dyDescent="0.35">
      <c r="A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178</v>
      </c>
    </row>
    <row r="2" spans="1:8" x14ac:dyDescent="0.35">
      <c r="A2" t="s">
        <v>8</v>
      </c>
      <c r="B2">
        <v>5938</v>
      </c>
      <c r="C2">
        <v>810</v>
      </c>
      <c r="D2">
        <v>461</v>
      </c>
      <c r="E2">
        <v>16</v>
      </c>
      <c r="F2">
        <v>922</v>
      </c>
      <c r="G2">
        <v>1844</v>
      </c>
      <c r="H2" t="str">
        <f>IF(Table3[[#This Row],[Current_Stock]]&lt;=Table3[[#This Row],[Reorder_Point]],"Reorder Required","Stock Sufficient")</f>
        <v>Reorder Required</v>
      </c>
    </row>
    <row r="3" spans="1:8" x14ac:dyDescent="0.35">
      <c r="A3" t="s">
        <v>15</v>
      </c>
      <c r="B3">
        <v>3812</v>
      </c>
      <c r="C3">
        <v>3374</v>
      </c>
      <c r="D3">
        <v>116</v>
      </c>
      <c r="E3">
        <v>16</v>
      </c>
      <c r="F3">
        <v>232</v>
      </c>
      <c r="G3">
        <v>464</v>
      </c>
      <c r="H3" t="str">
        <f>IF(Table3[[#This Row],[Current_Stock]]&lt;=Table3[[#This Row],[Reorder_Point]],"Reorder Required","Stock Sufficient")</f>
        <v>Stock Sufficient</v>
      </c>
    </row>
    <row r="4" spans="1:8" x14ac:dyDescent="0.35">
      <c r="A4" t="s">
        <v>19</v>
      </c>
      <c r="B4">
        <v>6121</v>
      </c>
      <c r="C4">
        <v>996</v>
      </c>
      <c r="D4">
        <v>258</v>
      </c>
      <c r="E4">
        <v>23</v>
      </c>
      <c r="F4">
        <v>516</v>
      </c>
      <c r="G4">
        <v>1290</v>
      </c>
      <c r="H4" t="str">
        <f>IF(Table3[[#This Row],[Current_Stock]]&lt;=Table3[[#This Row],[Reorder_Point]],"Reorder Required","Stock Sufficient")</f>
        <v>Reorder Required</v>
      </c>
    </row>
    <row r="5" spans="1:8" x14ac:dyDescent="0.35">
      <c r="A5" t="s">
        <v>24</v>
      </c>
      <c r="B5">
        <v>4301</v>
      </c>
      <c r="C5">
        <v>1955</v>
      </c>
      <c r="D5">
        <v>113</v>
      </c>
      <c r="E5">
        <v>14</v>
      </c>
      <c r="F5">
        <v>226</v>
      </c>
      <c r="G5">
        <v>452</v>
      </c>
      <c r="H5" t="str">
        <f>IF(Table3[[#This Row],[Current_Stock]]&lt;=Table3[[#This Row],[Reorder_Point]],"Reorder Required","Stock Sufficient")</f>
        <v>Stock Sufficient</v>
      </c>
    </row>
    <row r="6" spans="1:8" x14ac:dyDescent="0.35">
      <c r="A6" t="s">
        <v>28</v>
      </c>
      <c r="B6">
        <v>4938</v>
      </c>
      <c r="C6">
        <v>2960</v>
      </c>
      <c r="D6">
        <v>478</v>
      </c>
      <c r="E6">
        <v>30</v>
      </c>
      <c r="F6">
        <v>956</v>
      </c>
      <c r="G6">
        <v>2868</v>
      </c>
      <c r="H6" t="str">
        <f>IF(Table3[[#This Row],[Current_Stock]]&lt;=Table3[[#This Row],[Reorder_Point]],"Reorder Required","Stock Sufficient")</f>
        <v>Stock Sufficient</v>
      </c>
    </row>
    <row r="7" spans="1:8" x14ac:dyDescent="0.35">
      <c r="A7" t="s">
        <v>33</v>
      </c>
      <c r="B7">
        <v>7923</v>
      </c>
      <c r="C7">
        <v>1773</v>
      </c>
      <c r="D7">
        <v>275</v>
      </c>
      <c r="E7">
        <v>21</v>
      </c>
      <c r="F7">
        <v>550</v>
      </c>
      <c r="G7">
        <v>1375</v>
      </c>
      <c r="H7" t="str">
        <f>IF(Table3[[#This Row],[Current_Stock]]&lt;=Table3[[#This Row],[Reorder_Point]],"Reorder Required","Stock Sufficient")</f>
        <v>Stock Sufficient</v>
      </c>
    </row>
    <row r="8" spans="1:8" x14ac:dyDescent="0.35">
      <c r="A8" t="s">
        <v>36</v>
      </c>
      <c r="B8">
        <v>3488</v>
      </c>
      <c r="C8">
        <v>4656</v>
      </c>
      <c r="D8">
        <v>221</v>
      </c>
      <c r="E8">
        <v>15</v>
      </c>
      <c r="F8">
        <v>442</v>
      </c>
      <c r="G8">
        <v>884</v>
      </c>
      <c r="H8" t="str">
        <f>IF(Table3[[#This Row],[Current_Stock]]&lt;=Table3[[#This Row],[Reorder_Point]],"Reorder Required","Stock Sufficient")</f>
        <v>Stock Sufficient</v>
      </c>
    </row>
    <row r="9" spans="1:8" x14ac:dyDescent="0.35">
      <c r="A9" t="s">
        <v>39</v>
      </c>
      <c r="B9">
        <v>3223</v>
      </c>
      <c r="C9">
        <v>1485</v>
      </c>
      <c r="D9">
        <v>472</v>
      </c>
      <c r="E9">
        <v>21</v>
      </c>
      <c r="F9">
        <v>944</v>
      </c>
      <c r="G9">
        <v>2360</v>
      </c>
      <c r="H9" t="str">
        <f>IF(Table3[[#This Row],[Current_Stock]]&lt;=Table3[[#This Row],[Reorder_Point]],"Reorder Required","Stock Sufficient")</f>
        <v>Reorder Required</v>
      </c>
    </row>
    <row r="10" spans="1:8" x14ac:dyDescent="0.35">
      <c r="A10" t="s">
        <v>41</v>
      </c>
      <c r="B10">
        <v>7758</v>
      </c>
      <c r="C10">
        <v>3389</v>
      </c>
      <c r="D10">
        <v>125</v>
      </c>
      <c r="E10">
        <v>12</v>
      </c>
      <c r="F10">
        <v>250</v>
      </c>
      <c r="G10">
        <v>375</v>
      </c>
      <c r="H10" t="str">
        <f>IF(Table3[[#This Row],[Current_Stock]]&lt;=Table3[[#This Row],[Reorder_Point]],"Reorder Required","Stock Sufficient")</f>
        <v>Stock Sufficient</v>
      </c>
    </row>
    <row r="11" spans="1:8" x14ac:dyDescent="0.35">
      <c r="A11" t="s">
        <v>43</v>
      </c>
      <c r="B11">
        <v>5739</v>
      </c>
      <c r="C11">
        <v>4527</v>
      </c>
      <c r="D11">
        <v>214</v>
      </c>
      <c r="E11">
        <v>28</v>
      </c>
      <c r="F11">
        <v>428</v>
      </c>
      <c r="G11">
        <v>1284</v>
      </c>
      <c r="H11" t="str">
        <f>IF(Table3[[#This Row],[Current_Stock]]&lt;=Table3[[#This Row],[Reorder_Point]],"Reorder Required","Stock Sufficient")</f>
        <v>Stock Sufficient</v>
      </c>
    </row>
    <row r="12" spans="1:8" x14ac:dyDescent="0.35">
      <c r="A12" t="s">
        <v>45</v>
      </c>
      <c r="B12">
        <v>4609</v>
      </c>
      <c r="C12">
        <v>2310</v>
      </c>
      <c r="D12">
        <v>500</v>
      </c>
      <c r="E12">
        <v>16</v>
      </c>
      <c r="F12">
        <v>1000</v>
      </c>
      <c r="G12">
        <v>2000</v>
      </c>
      <c r="H12" t="str">
        <f>IF(Table3[[#This Row],[Current_Stock]]&lt;=Table3[[#This Row],[Reorder_Point]],"Reorder Required","Stock Sufficient")</f>
        <v>Stock Sufficient</v>
      </c>
    </row>
    <row r="13" spans="1:8" x14ac:dyDescent="0.35">
      <c r="A13" t="s">
        <v>47</v>
      </c>
      <c r="B13">
        <v>3836</v>
      </c>
      <c r="C13">
        <v>1700</v>
      </c>
      <c r="D13">
        <v>145</v>
      </c>
      <c r="E13">
        <v>15</v>
      </c>
      <c r="F13">
        <v>290</v>
      </c>
      <c r="G13">
        <v>580</v>
      </c>
      <c r="H13" t="str">
        <f>IF(Table3[[#This Row],[Current_Stock]]&lt;=Table3[[#This Row],[Reorder_Point]],"Reorder Required","Stock Sufficient")</f>
        <v>Stock Sufficient</v>
      </c>
    </row>
    <row r="14" spans="1:8" x14ac:dyDescent="0.35">
      <c r="A14" t="s">
        <v>49</v>
      </c>
      <c r="B14">
        <v>6461</v>
      </c>
      <c r="C14">
        <v>1538</v>
      </c>
      <c r="D14">
        <v>344</v>
      </c>
      <c r="E14">
        <v>14</v>
      </c>
      <c r="F14">
        <v>688</v>
      </c>
      <c r="G14">
        <v>1376</v>
      </c>
      <c r="H14" t="str">
        <f>IF(Table3[[#This Row],[Current_Stock]]&lt;=Table3[[#This Row],[Reorder_Point]],"Reorder Required","Stock Sufficient")</f>
        <v>Stock Sufficient</v>
      </c>
    </row>
    <row r="15" spans="1:8" x14ac:dyDescent="0.35">
      <c r="A15" t="s">
        <v>51</v>
      </c>
      <c r="B15">
        <v>7901</v>
      </c>
      <c r="C15">
        <v>4724</v>
      </c>
      <c r="D15">
        <v>300</v>
      </c>
      <c r="E15">
        <v>21</v>
      </c>
      <c r="F15">
        <v>600</v>
      </c>
      <c r="G15">
        <v>1500</v>
      </c>
      <c r="H15" t="str">
        <f>IF(Table3[[#This Row],[Current_Stock]]&lt;=Table3[[#This Row],[Reorder_Point]],"Reorder Required","Stock Sufficient")</f>
        <v>Stock Sufficient</v>
      </c>
    </row>
    <row r="16" spans="1:8" x14ac:dyDescent="0.35">
      <c r="A16" t="s">
        <v>53</v>
      </c>
      <c r="B16">
        <v>4008</v>
      </c>
      <c r="C16">
        <v>4268</v>
      </c>
      <c r="D16">
        <v>461</v>
      </c>
      <c r="E16">
        <v>8</v>
      </c>
      <c r="F16">
        <v>922</v>
      </c>
      <c r="G16">
        <v>1383</v>
      </c>
      <c r="H16" t="str">
        <f>IF(Table3[[#This Row],[Current_Stock]]&lt;=Table3[[#This Row],[Reorder_Point]],"Reorder Required","Stock Sufficient")</f>
        <v>Stock Sufficient</v>
      </c>
    </row>
    <row r="17" spans="1:8" x14ac:dyDescent="0.35">
      <c r="A17" t="s">
        <v>55</v>
      </c>
      <c r="B17">
        <v>7709</v>
      </c>
      <c r="C17">
        <v>158</v>
      </c>
      <c r="D17">
        <v>143</v>
      </c>
      <c r="E17">
        <v>22</v>
      </c>
      <c r="F17">
        <v>286</v>
      </c>
      <c r="G17">
        <v>715</v>
      </c>
      <c r="H17" t="str">
        <f>IF(Table3[[#This Row],[Current_Stock]]&lt;=Table3[[#This Row],[Reorder_Point]],"Reorder Required","Stock Sufficient")</f>
        <v>Reorder Required</v>
      </c>
    </row>
    <row r="18" spans="1:8" x14ac:dyDescent="0.35">
      <c r="A18" t="s">
        <v>57</v>
      </c>
      <c r="B18">
        <v>8865</v>
      </c>
      <c r="C18">
        <v>4966</v>
      </c>
      <c r="D18">
        <v>465</v>
      </c>
      <c r="E18">
        <v>29</v>
      </c>
      <c r="F18">
        <v>930</v>
      </c>
      <c r="G18">
        <v>2790</v>
      </c>
      <c r="H18" t="str">
        <f>IF(Table3[[#This Row],[Current_Stock]]&lt;=Table3[[#This Row],[Reorder_Point]],"Reorder Required","Stock Sufficient")</f>
        <v>Stock Sufficient</v>
      </c>
    </row>
    <row r="19" spans="1:8" x14ac:dyDescent="0.35">
      <c r="A19" t="s">
        <v>59</v>
      </c>
      <c r="B19">
        <v>9081</v>
      </c>
      <c r="C19">
        <v>4472</v>
      </c>
      <c r="D19">
        <v>300</v>
      </c>
      <c r="E19">
        <v>18</v>
      </c>
      <c r="F19">
        <v>600</v>
      </c>
      <c r="G19">
        <v>1200</v>
      </c>
      <c r="H19" t="str">
        <f>IF(Table3[[#This Row],[Current_Stock]]&lt;=Table3[[#This Row],[Reorder_Point]],"Reorder Required","Stock Sufficient")</f>
        <v>Stock Sufficient</v>
      </c>
    </row>
    <row r="20" spans="1:8" x14ac:dyDescent="0.35">
      <c r="A20" t="s">
        <v>61</v>
      </c>
      <c r="B20">
        <v>5642</v>
      </c>
      <c r="C20">
        <v>1652</v>
      </c>
      <c r="D20">
        <v>218</v>
      </c>
      <c r="E20">
        <v>7</v>
      </c>
      <c r="F20">
        <v>436</v>
      </c>
      <c r="G20">
        <v>654</v>
      </c>
      <c r="H20" t="str">
        <f>IF(Table3[[#This Row],[Current_Stock]]&lt;=Table3[[#This Row],[Reorder_Point]],"Reorder Required","Stock Sufficient")</f>
        <v>Stock Sufficient</v>
      </c>
    </row>
    <row r="21" spans="1:8" x14ac:dyDescent="0.35">
      <c r="A21" t="s">
        <v>63</v>
      </c>
      <c r="B21">
        <v>5136</v>
      </c>
      <c r="C21">
        <v>2017</v>
      </c>
      <c r="D21">
        <v>153</v>
      </c>
      <c r="E21">
        <v>27</v>
      </c>
      <c r="F21">
        <v>306</v>
      </c>
      <c r="G21">
        <v>765</v>
      </c>
      <c r="H21" t="str">
        <f>IF(Table3[[#This Row],[Current_Stock]]&lt;=Table3[[#This Row],[Reorder_Point]],"Reorder Required","Stock Sufficient")</f>
        <v>Stock Sufficient</v>
      </c>
    </row>
    <row r="22" spans="1:8" x14ac:dyDescent="0.35">
      <c r="A22" t="s">
        <v>65</v>
      </c>
      <c r="B22">
        <v>9568</v>
      </c>
      <c r="C22">
        <v>874</v>
      </c>
      <c r="D22">
        <v>216</v>
      </c>
      <c r="E22">
        <v>23</v>
      </c>
      <c r="F22">
        <v>432</v>
      </c>
      <c r="G22">
        <v>1080</v>
      </c>
      <c r="H22" t="str">
        <f>IF(Table3[[#This Row],[Current_Stock]]&lt;=Table3[[#This Row],[Reorder_Point]],"Reorder Required","Stock Sufficient")</f>
        <v>Reorder Required</v>
      </c>
    </row>
    <row r="23" spans="1:8" x14ac:dyDescent="0.35">
      <c r="A23" t="s">
        <v>67</v>
      </c>
      <c r="B23">
        <v>9590</v>
      </c>
      <c r="C23">
        <v>3446</v>
      </c>
      <c r="D23">
        <v>468</v>
      </c>
      <c r="E23">
        <v>26</v>
      </c>
      <c r="F23">
        <v>936</v>
      </c>
      <c r="G23">
        <v>2340</v>
      </c>
      <c r="H23" t="str">
        <f>IF(Table3[[#This Row],[Current_Stock]]&lt;=Table3[[#This Row],[Reorder_Point]],"Reorder Required","Stock Sufficient")</f>
        <v>Stock Sufficient</v>
      </c>
    </row>
    <row r="24" spans="1:8" x14ac:dyDescent="0.35">
      <c r="A24" t="s">
        <v>69</v>
      </c>
      <c r="B24">
        <v>3125</v>
      </c>
      <c r="C24">
        <v>2545</v>
      </c>
      <c r="D24">
        <v>107</v>
      </c>
      <c r="E24">
        <v>19</v>
      </c>
      <c r="F24">
        <v>214</v>
      </c>
      <c r="G24">
        <v>428</v>
      </c>
      <c r="H24" t="str">
        <f>IF(Table3[[#This Row],[Current_Stock]]&lt;=Table3[[#This Row],[Reorder_Point]],"Reorder Required","Stock Sufficient")</f>
        <v>Stock Sufficient</v>
      </c>
    </row>
    <row r="25" spans="1:8" x14ac:dyDescent="0.35">
      <c r="A25" t="s">
        <v>71</v>
      </c>
      <c r="B25">
        <v>7697</v>
      </c>
      <c r="C25">
        <v>3576</v>
      </c>
      <c r="D25">
        <v>377</v>
      </c>
      <c r="E25">
        <v>11</v>
      </c>
      <c r="F25">
        <v>754</v>
      </c>
      <c r="G25">
        <v>1131</v>
      </c>
      <c r="H25" t="str">
        <f>IF(Table3[[#This Row],[Current_Stock]]&lt;=Table3[[#This Row],[Reorder_Point]],"Reorder Required","Stock Sufficient")</f>
        <v>Stock Sufficient</v>
      </c>
    </row>
    <row r="26" spans="1:8" x14ac:dyDescent="0.35">
      <c r="A26" t="s">
        <v>73</v>
      </c>
      <c r="B26">
        <v>9793</v>
      </c>
      <c r="C26">
        <v>2264</v>
      </c>
      <c r="D26">
        <v>64</v>
      </c>
      <c r="E26">
        <v>25</v>
      </c>
      <c r="F26">
        <v>128</v>
      </c>
      <c r="G26">
        <v>320</v>
      </c>
      <c r="H26" t="str">
        <f>IF(Table3[[#This Row],[Current_Stock]]&lt;=Table3[[#This Row],[Reorder_Point]],"Reorder Required","Stock Sufficient")</f>
        <v>Stock Sufficient</v>
      </c>
    </row>
    <row r="27" spans="1:8" x14ac:dyDescent="0.35">
      <c r="A27" t="s">
        <v>75</v>
      </c>
      <c r="B27">
        <v>9309</v>
      </c>
      <c r="C27">
        <v>3986</v>
      </c>
      <c r="D27">
        <v>190</v>
      </c>
      <c r="E27">
        <v>20</v>
      </c>
      <c r="F27">
        <v>380</v>
      </c>
      <c r="G27">
        <v>760</v>
      </c>
      <c r="H27" t="str">
        <f>IF(Table3[[#This Row],[Current_Stock]]&lt;=Table3[[#This Row],[Reorder_Point]],"Reorder Required","Stock Sufficient")</f>
        <v>Stock Sufficient</v>
      </c>
    </row>
    <row r="28" spans="1:8" x14ac:dyDescent="0.35">
      <c r="A28" t="s">
        <v>77</v>
      </c>
      <c r="B28">
        <v>5460</v>
      </c>
      <c r="C28">
        <v>4720</v>
      </c>
      <c r="D28">
        <v>268</v>
      </c>
      <c r="E28">
        <v>9</v>
      </c>
      <c r="F28">
        <v>536</v>
      </c>
      <c r="G28">
        <v>804</v>
      </c>
      <c r="H28" t="str">
        <f>IF(Table3[[#This Row],[Current_Stock]]&lt;=Table3[[#This Row],[Reorder_Point]],"Reorder Required","Stock Sufficient")</f>
        <v>Stock Sufficient</v>
      </c>
    </row>
    <row r="29" spans="1:8" x14ac:dyDescent="0.35">
      <c r="A29" t="s">
        <v>79</v>
      </c>
      <c r="B29">
        <v>8096</v>
      </c>
      <c r="C29">
        <v>828</v>
      </c>
      <c r="D29">
        <v>435</v>
      </c>
      <c r="E29">
        <v>28</v>
      </c>
      <c r="F29">
        <v>870</v>
      </c>
      <c r="G29">
        <v>2610</v>
      </c>
      <c r="H29" t="str">
        <f>IF(Table3[[#This Row],[Current_Stock]]&lt;=Table3[[#This Row],[Reorder_Point]],"Reorder Required","Stock Sufficient")</f>
        <v>Reorder Required</v>
      </c>
    </row>
    <row r="30" spans="1:8" x14ac:dyDescent="0.35">
      <c r="A30" t="s">
        <v>81</v>
      </c>
      <c r="B30">
        <v>3479</v>
      </c>
      <c r="C30">
        <v>1125</v>
      </c>
      <c r="D30">
        <v>463</v>
      </c>
      <c r="E30">
        <v>23</v>
      </c>
      <c r="F30">
        <v>926</v>
      </c>
      <c r="G30">
        <v>2315</v>
      </c>
      <c r="H30" t="str">
        <f>IF(Table3[[#This Row],[Current_Stock]]&lt;=Table3[[#This Row],[Reorder_Point]],"Reorder Required","Stock Sufficient")</f>
        <v>Reorder Required</v>
      </c>
    </row>
    <row r="31" spans="1:8" x14ac:dyDescent="0.35">
      <c r="A31" t="s">
        <v>83</v>
      </c>
      <c r="B31">
        <v>4295</v>
      </c>
      <c r="C31">
        <v>4147</v>
      </c>
      <c r="D31">
        <v>362</v>
      </c>
      <c r="E31">
        <v>9</v>
      </c>
      <c r="F31">
        <v>724</v>
      </c>
      <c r="G31">
        <v>1086</v>
      </c>
      <c r="H31" t="str">
        <f>IF(Table3[[#This Row],[Current_Stock]]&lt;=Table3[[#This Row],[Reorder_Point]],"Reorder Required","Stock Sufficient")</f>
        <v>Stock Sufficient</v>
      </c>
    </row>
    <row r="32" spans="1:8" x14ac:dyDescent="0.35">
      <c r="A32" t="s">
        <v>85</v>
      </c>
      <c r="B32">
        <v>9451</v>
      </c>
      <c r="C32">
        <v>2022</v>
      </c>
      <c r="D32">
        <v>166</v>
      </c>
      <c r="E32">
        <v>14</v>
      </c>
      <c r="F32">
        <v>332</v>
      </c>
      <c r="G32">
        <v>664</v>
      </c>
      <c r="H32" t="str">
        <f>IF(Table3[[#This Row],[Current_Stock]]&lt;=Table3[[#This Row],[Reorder_Point]],"Reorder Required","Stock Sufficient")</f>
        <v>Stock Sufficient</v>
      </c>
    </row>
    <row r="33" spans="1:8" x14ac:dyDescent="0.35">
      <c r="A33" t="s">
        <v>87</v>
      </c>
      <c r="B33">
        <v>2379</v>
      </c>
      <c r="C33">
        <v>4347</v>
      </c>
      <c r="D33">
        <v>416</v>
      </c>
      <c r="E33">
        <v>14</v>
      </c>
      <c r="F33">
        <v>832</v>
      </c>
      <c r="G33">
        <v>1664</v>
      </c>
      <c r="H33" t="str">
        <f>IF(Table3[[#This Row],[Current_Stock]]&lt;=Table3[[#This Row],[Reorder_Point]],"Reorder Required","Stock Sufficient")</f>
        <v>Stock Sufficient</v>
      </c>
    </row>
    <row r="34" spans="1:8" x14ac:dyDescent="0.35">
      <c r="A34" t="s">
        <v>89</v>
      </c>
      <c r="B34">
        <v>9843</v>
      </c>
      <c r="C34">
        <v>1754</v>
      </c>
      <c r="D34">
        <v>325</v>
      </c>
      <c r="E34">
        <v>14</v>
      </c>
      <c r="F34">
        <v>650</v>
      </c>
      <c r="G34">
        <v>1300</v>
      </c>
      <c r="H34" t="str">
        <f>IF(Table3[[#This Row],[Current_Stock]]&lt;=Table3[[#This Row],[Reorder_Point]],"Reorder Required","Stock Sufficient")</f>
        <v>Stock Sufficient</v>
      </c>
    </row>
    <row r="35" spans="1:8" x14ac:dyDescent="0.35">
      <c r="A35" t="s">
        <v>91</v>
      </c>
      <c r="B35">
        <v>2697</v>
      </c>
      <c r="C35">
        <v>4691</v>
      </c>
      <c r="D35">
        <v>313</v>
      </c>
      <c r="E35">
        <v>18</v>
      </c>
      <c r="F35">
        <v>626</v>
      </c>
      <c r="G35">
        <v>1252</v>
      </c>
      <c r="H35" t="str">
        <f>IF(Table3[[#This Row],[Current_Stock]]&lt;=Table3[[#This Row],[Reorder_Point]],"Reorder Required","Stock Sufficient")</f>
        <v>Stock Sufficient</v>
      </c>
    </row>
    <row r="36" spans="1:8" x14ac:dyDescent="0.35">
      <c r="A36" t="s">
        <v>93</v>
      </c>
      <c r="B36">
        <v>3591</v>
      </c>
      <c r="C36">
        <v>3474</v>
      </c>
      <c r="D36">
        <v>466</v>
      </c>
      <c r="E36">
        <v>20</v>
      </c>
      <c r="F36">
        <v>932</v>
      </c>
      <c r="G36">
        <v>1864</v>
      </c>
      <c r="H36" t="str">
        <f>IF(Table3[[#This Row],[Current_Stock]]&lt;=Table3[[#This Row],[Reorder_Point]],"Reorder Required","Stock Sufficient")</f>
        <v>Stock Sufficient</v>
      </c>
    </row>
    <row r="37" spans="1:8" x14ac:dyDescent="0.35">
      <c r="A37" t="s">
        <v>95</v>
      </c>
      <c r="B37">
        <v>8664</v>
      </c>
      <c r="C37">
        <v>4084</v>
      </c>
      <c r="D37">
        <v>417</v>
      </c>
      <c r="E37">
        <v>16</v>
      </c>
      <c r="F37">
        <v>834</v>
      </c>
      <c r="G37">
        <v>1668</v>
      </c>
      <c r="H37" t="str">
        <f>IF(Table3[[#This Row],[Current_Stock]]&lt;=Table3[[#This Row],[Reorder_Point]],"Reorder Required","Stock Sufficient")</f>
        <v>Stock Sufficient</v>
      </c>
    </row>
    <row r="38" spans="1:8" x14ac:dyDescent="0.35">
      <c r="A38" t="s">
        <v>97</v>
      </c>
      <c r="B38">
        <v>9853</v>
      </c>
      <c r="C38">
        <v>830</v>
      </c>
      <c r="D38">
        <v>235</v>
      </c>
      <c r="E38">
        <v>20</v>
      </c>
      <c r="F38">
        <v>470</v>
      </c>
      <c r="G38">
        <v>940</v>
      </c>
      <c r="H38" t="str">
        <f>IF(Table3[[#This Row],[Current_Stock]]&lt;=Table3[[#This Row],[Reorder_Point]],"Reorder Required","Stock Sufficient")</f>
        <v>Reorder Required</v>
      </c>
    </row>
    <row r="39" spans="1:8" x14ac:dyDescent="0.35">
      <c r="A39" t="s">
        <v>99</v>
      </c>
      <c r="B39">
        <v>9604</v>
      </c>
      <c r="C39">
        <v>4084</v>
      </c>
      <c r="D39">
        <v>53</v>
      </c>
      <c r="E39">
        <v>24</v>
      </c>
      <c r="F39">
        <v>106</v>
      </c>
      <c r="G39">
        <v>265</v>
      </c>
      <c r="H39" t="str">
        <f>IF(Table3[[#This Row],[Current_Stock]]&lt;=Table3[[#This Row],[Reorder_Point]],"Reorder Required","Stock Sufficient")</f>
        <v>Stock Sufficient</v>
      </c>
    </row>
    <row r="40" spans="1:8" x14ac:dyDescent="0.35">
      <c r="A40" t="s">
        <v>101</v>
      </c>
      <c r="B40">
        <v>9253</v>
      </c>
      <c r="C40">
        <v>4685</v>
      </c>
      <c r="D40">
        <v>493</v>
      </c>
      <c r="E40">
        <v>15</v>
      </c>
      <c r="F40">
        <v>986</v>
      </c>
      <c r="G40">
        <v>1972</v>
      </c>
      <c r="H40" t="str">
        <f>IF(Table3[[#This Row],[Current_Stock]]&lt;=Table3[[#This Row],[Reorder_Point]],"Reorder Required","Stock Sufficient")</f>
        <v>Stock Sufficient</v>
      </c>
    </row>
    <row r="41" spans="1:8" x14ac:dyDescent="0.35">
      <c r="A41" t="s">
        <v>103</v>
      </c>
      <c r="B41">
        <v>7878</v>
      </c>
      <c r="C41">
        <v>2516</v>
      </c>
      <c r="D41">
        <v>332</v>
      </c>
      <c r="E41">
        <v>16</v>
      </c>
      <c r="F41">
        <v>664</v>
      </c>
      <c r="G41">
        <v>1328</v>
      </c>
      <c r="H41" t="str">
        <f>IF(Table3[[#This Row],[Current_Stock]]&lt;=Table3[[#This Row],[Reorder_Point]],"Reorder Required","Stock Sufficient")</f>
        <v>Stock Sufficient</v>
      </c>
    </row>
    <row r="42" spans="1:8" x14ac:dyDescent="0.35">
      <c r="A42" t="s">
        <v>105</v>
      </c>
      <c r="B42">
        <v>2260</v>
      </c>
      <c r="C42">
        <v>4879</v>
      </c>
      <c r="D42">
        <v>135</v>
      </c>
      <c r="E42">
        <v>25</v>
      </c>
      <c r="F42">
        <v>270</v>
      </c>
      <c r="G42">
        <v>675</v>
      </c>
      <c r="H42" t="str">
        <f>IF(Table3[[#This Row],[Current_Stock]]&lt;=Table3[[#This Row],[Reorder_Point]],"Reorder Required","Stock Sufficient")</f>
        <v>Stock Sufficient</v>
      </c>
    </row>
    <row r="43" spans="1:8" x14ac:dyDescent="0.35">
      <c r="A43" t="s">
        <v>107</v>
      </c>
      <c r="B43">
        <v>6282</v>
      </c>
      <c r="C43">
        <v>4670</v>
      </c>
      <c r="D43">
        <v>237</v>
      </c>
      <c r="E43">
        <v>13</v>
      </c>
      <c r="F43">
        <v>474</v>
      </c>
      <c r="G43">
        <v>711</v>
      </c>
      <c r="H43" t="str">
        <f>IF(Table3[[#This Row],[Current_Stock]]&lt;=Table3[[#This Row],[Reorder_Point]],"Reorder Required","Stock Sufficient")</f>
        <v>Stock Sufficient</v>
      </c>
    </row>
    <row r="44" spans="1:8" x14ac:dyDescent="0.35">
      <c r="A44" t="s">
        <v>109</v>
      </c>
      <c r="B44">
        <v>2966</v>
      </c>
      <c r="C44">
        <v>2544</v>
      </c>
      <c r="D44">
        <v>229</v>
      </c>
      <c r="E44">
        <v>22</v>
      </c>
      <c r="F44">
        <v>458</v>
      </c>
      <c r="G44">
        <v>1145</v>
      </c>
      <c r="H44" t="str">
        <f>IF(Table3[[#This Row],[Current_Stock]]&lt;=Table3[[#This Row],[Reorder_Point]],"Reorder Required","Stock Sufficient")</f>
        <v>Stock Sufficient</v>
      </c>
    </row>
    <row r="45" spans="1:8" x14ac:dyDescent="0.35">
      <c r="A45" t="s">
        <v>111</v>
      </c>
      <c r="B45">
        <v>2801</v>
      </c>
      <c r="C45">
        <v>610</v>
      </c>
      <c r="D45">
        <v>272</v>
      </c>
      <c r="E45">
        <v>8</v>
      </c>
      <c r="F45">
        <v>544</v>
      </c>
      <c r="G45">
        <v>816</v>
      </c>
      <c r="H45" t="str">
        <f>IF(Table3[[#This Row],[Current_Stock]]&lt;=Table3[[#This Row],[Reorder_Point]],"Reorder Required","Stock Sufficient")</f>
        <v>Reorder Required</v>
      </c>
    </row>
    <row r="46" spans="1:8" x14ac:dyDescent="0.35">
      <c r="A46" t="s">
        <v>113</v>
      </c>
      <c r="B46">
        <v>2190</v>
      </c>
      <c r="C46">
        <v>1041</v>
      </c>
      <c r="D46">
        <v>273</v>
      </c>
      <c r="E46">
        <v>21</v>
      </c>
      <c r="F46">
        <v>546</v>
      </c>
      <c r="G46">
        <v>1365</v>
      </c>
      <c r="H46" t="str">
        <f>IF(Table3[[#This Row],[Current_Stock]]&lt;=Table3[[#This Row],[Reorder_Point]],"Reorder Required","Stock Sufficient")</f>
        <v>Reorder Required</v>
      </c>
    </row>
    <row r="47" spans="1:8" x14ac:dyDescent="0.35">
      <c r="A47" t="s">
        <v>115</v>
      </c>
      <c r="B47">
        <v>3980</v>
      </c>
      <c r="C47">
        <v>1404</v>
      </c>
      <c r="D47">
        <v>218</v>
      </c>
      <c r="E47">
        <v>7</v>
      </c>
      <c r="F47">
        <v>436</v>
      </c>
      <c r="G47">
        <v>654</v>
      </c>
      <c r="H47" t="str">
        <f>IF(Table3[[#This Row],[Current_Stock]]&lt;=Table3[[#This Row],[Reorder_Point]],"Reorder Required","Stock Sufficient")</f>
        <v>Stock Sufficient</v>
      </c>
    </row>
    <row r="48" spans="1:8" x14ac:dyDescent="0.35">
      <c r="A48" t="s">
        <v>117</v>
      </c>
      <c r="B48">
        <v>5163</v>
      </c>
      <c r="C48">
        <v>3281</v>
      </c>
      <c r="D48">
        <v>284</v>
      </c>
      <c r="E48">
        <v>9</v>
      </c>
      <c r="F48">
        <v>568</v>
      </c>
      <c r="G48">
        <v>852</v>
      </c>
      <c r="H48" t="str">
        <f>IF(Table3[[#This Row],[Current_Stock]]&lt;=Table3[[#This Row],[Reorder_Point]],"Reorder Required","Stock Sufficient")</f>
        <v>Stock Sufficient</v>
      </c>
    </row>
    <row r="49" spans="1:8" x14ac:dyDescent="0.35">
      <c r="A49" t="s">
        <v>119</v>
      </c>
      <c r="B49">
        <v>5799</v>
      </c>
      <c r="C49">
        <v>357</v>
      </c>
      <c r="D49">
        <v>409</v>
      </c>
      <c r="E49">
        <v>28</v>
      </c>
      <c r="F49">
        <v>818</v>
      </c>
      <c r="G49">
        <v>2454</v>
      </c>
      <c r="H49" t="str">
        <f>IF(Table3[[#This Row],[Current_Stock]]&lt;=Table3[[#This Row],[Reorder_Point]],"Reorder Required","Stock Sufficient")</f>
        <v>Reorder Required</v>
      </c>
    </row>
    <row r="50" spans="1:8" x14ac:dyDescent="0.35">
      <c r="A50" t="s">
        <v>121</v>
      </c>
      <c r="B50">
        <v>3852</v>
      </c>
      <c r="C50">
        <v>265</v>
      </c>
      <c r="D50">
        <v>413</v>
      </c>
      <c r="E50">
        <v>18</v>
      </c>
      <c r="F50">
        <v>826</v>
      </c>
      <c r="G50">
        <v>1652</v>
      </c>
      <c r="H50" t="str">
        <f>IF(Table3[[#This Row],[Current_Stock]]&lt;=Table3[[#This Row],[Reorder_Point]],"Reorder Required","Stock Sufficient")</f>
        <v>Reorder Required</v>
      </c>
    </row>
    <row r="51" spans="1:8" x14ac:dyDescent="0.35">
      <c r="A51" t="s">
        <v>123</v>
      </c>
      <c r="B51">
        <v>6785</v>
      </c>
      <c r="C51">
        <v>3594</v>
      </c>
      <c r="D51">
        <v>291</v>
      </c>
      <c r="E51">
        <v>29</v>
      </c>
      <c r="F51">
        <v>582</v>
      </c>
      <c r="G51">
        <v>1746</v>
      </c>
      <c r="H51" t="str">
        <f>IF(Table3[[#This Row],[Current_Stock]]&lt;=Table3[[#This Row],[Reorder_Point]],"Reorder Required","Stock Sufficient")</f>
        <v>Stock Sufficient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1292-F1A6-49F2-B353-4BB83CD9C8D3}">
  <dimension ref="B4:F16"/>
  <sheetViews>
    <sheetView workbookViewId="0">
      <selection activeCell="G18" sqref="G18"/>
    </sheetView>
  </sheetViews>
  <sheetFormatPr defaultRowHeight="14.5" x14ac:dyDescent="0.35"/>
  <cols>
    <col min="2" max="2" width="15.6328125" bestFit="1" customWidth="1"/>
    <col min="3" max="3" width="18.1796875" bestFit="1" customWidth="1"/>
    <col min="5" max="6" width="11.36328125" bestFit="1" customWidth="1"/>
  </cols>
  <sheetData>
    <row r="4" spans="2:6" ht="15" customHeight="1" thickBot="1" x14ac:dyDescent="0.4">
      <c r="B4" s="18" t="s">
        <v>148</v>
      </c>
      <c r="C4" t="s">
        <v>152</v>
      </c>
      <c r="E4" s="45" t="s">
        <v>181</v>
      </c>
      <c r="F4" s="31" t="s">
        <v>0</v>
      </c>
    </row>
    <row r="5" spans="2:6" ht="15" thickTop="1" x14ac:dyDescent="0.35">
      <c r="B5" s="19" t="s">
        <v>179</v>
      </c>
      <c r="C5" s="17">
        <v>12</v>
      </c>
      <c r="E5" s="45"/>
      <c r="F5" s="2" t="s">
        <v>8</v>
      </c>
    </row>
    <row r="6" spans="2:6" x14ac:dyDescent="0.35">
      <c r="B6" s="19" t="s">
        <v>180</v>
      </c>
      <c r="C6" s="17">
        <v>38</v>
      </c>
      <c r="E6" s="45"/>
      <c r="F6" s="2" t="s">
        <v>19</v>
      </c>
    </row>
    <row r="7" spans="2:6" ht="14.5" customHeight="1" x14ac:dyDescent="0.35">
      <c r="B7" s="19" t="s">
        <v>151</v>
      </c>
      <c r="C7" s="17">
        <v>50</v>
      </c>
      <c r="E7" s="32"/>
      <c r="F7" s="2" t="s">
        <v>39</v>
      </c>
    </row>
    <row r="8" spans="2:6" x14ac:dyDescent="0.35">
      <c r="F8" s="2" t="s">
        <v>55</v>
      </c>
    </row>
    <row r="9" spans="2:6" x14ac:dyDescent="0.35">
      <c r="F9" s="2" t="s">
        <v>65</v>
      </c>
    </row>
    <row r="10" spans="2:6" x14ac:dyDescent="0.35">
      <c r="F10" s="2" t="s">
        <v>79</v>
      </c>
    </row>
    <row r="11" spans="2:6" x14ac:dyDescent="0.35">
      <c r="F11" s="2" t="s">
        <v>81</v>
      </c>
    </row>
    <row r="12" spans="2:6" x14ac:dyDescent="0.35">
      <c r="F12" s="2" t="s">
        <v>97</v>
      </c>
    </row>
    <row r="13" spans="2:6" x14ac:dyDescent="0.35">
      <c r="F13" s="2" t="s">
        <v>111</v>
      </c>
    </row>
    <row r="14" spans="2:6" x14ac:dyDescent="0.35">
      <c r="F14" s="2" t="s">
        <v>113</v>
      </c>
    </row>
    <row r="15" spans="2:6" x14ac:dyDescent="0.35">
      <c r="F15" s="2" t="s">
        <v>119</v>
      </c>
    </row>
    <row r="16" spans="2:6" x14ac:dyDescent="0.35">
      <c r="F16" s="5" t="s">
        <v>121</v>
      </c>
    </row>
  </sheetData>
  <mergeCells count="1">
    <mergeCell ref="E4:E6"/>
  </mergeCell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zoomScale="85" zoomScaleNormal="85" workbookViewId="0">
      <selection activeCell="F11" sqref="F11"/>
    </sheetView>
  </sheetViews>
  <sheetFormatPr defaultRowHeight="14.5" x14ac:dyDescent="0.35"/>
  <cols>
    <col min="1" max="1" width="12.26953125" customWidth="1"/>
    <col min="2" max="2" width="20.1796875" customWidth="1"/>
    <col min="3" max="3" width="17.26953125" bestFit="1" customWidth="1"/>
    <col min="4" max="4" width="17.81640625" customWidth="1"/>
    <col min="5" max="5" width="13.453125" customWidth="1"/>
    <col min="6" max="6" width="19.36328125" bestFit="1" customWidth="1"/>
  </cols>
  <sheetData>
    <row r="1" spans="1:6" x14ac:dyDescent="0.35">
      <c r="A1" t="s">
        <v>0</v>
      </c>
      <c r="B1" t="s">
        <v>134</v>
      </c>
      <c r="C1" t="s">
        <v>135</v>
      </c>
      <c r="D1" t="s">
        <v>136</v>
      </c>
      <c r="E1" t="s">
        <v>137</v>
      </c>
      <c r="F1" t="s">
        <v>184</v>
      </c>
    </row>
    <row r="2" spans="1:6" x14ac:dyDescent="0.35">
      <c r="A2" t="s">
        <v>8</v>
      </c>
      <c r="B2" t="s">
        <v>138</v>
      </c>
      <c r="C2" t="s">
        <v>139</v>
      </c>
      <c r="D2" t="s">
        <v>22</v>
      </c>
      <c r="E2" t="s">
        <v>140</v>
      </c>
      <c r="F2" t="str">
        <f t="shared" ref="F2:F33" si="0">IF(E2="Signed Off","Complete",
IF(B2="Pending","Submission Pending",
IF(C2="Changes Requested","Rework Required",
IF(C2="In Review","Under Review",
IF(D2="Pending","Regulatory Review",
"Awaiting Final Sign-off")))))</f>
        <v>Complete</v>
      </c>
    </row>
    <row r="3" spans="1:6" x14ac:dyDescent="0.35">
      <c r="A3" t="s">
        <v>15</v>
      </c>
      <c r="B3" t="s">
        <v>138</v>
      </c>
      <c r="C3" t="s">
        <v>141</v>
      </c>
      <c r="D3" t="s">
        <v>12</v>
      </c>
      <c r="E3" t="s">
        <v>12</v>
      </c>
      <c r="F3" t="str">
        <f t="shared" si="0"/>
        <v>Under Review</v>
      </c>
    </row>
    <row r="4" spans="1:6" x14ac:dyDescent="0.35">
      <c r="A4" t="s">
        <v>19</v>
      </c>
      <c r="B4" t="s">
        <v>138</v>
      </c>
      <c r="C4" t="s">
        <v>139</v>
      </c>
      <c r="D4" t="s">
        <v>12</v>
      </c>
      <c r="E4" t="s">
        <v>12</v>
      </c>
      <c r="F4" t="str">
        <f t="shared" si="0"/>
        <v>Rework Required</v>
      </c>
    </row>
    <row r="5" spans="1:6" x14ac:dyDescent="0.35">
      <c r="A5" t="s">
        <v>24</v>
      </c>
      <c r="B5" t="s">
        <v>12</v>
      </c>
      <c r="C5" t="s">
        <v>139</v>
      </c>
      <c r="D5" t="s">
        <v>22</v>
      </c>
      <c r="E5" t="s">
        <v>12</v>
      </c>
      <c r="F5" t="str">
        <f t="shared" si="0"/>
        <v>Submission Pending</v>
      </c>
    </row>
    <row r="6" spans="1:6" x14ac:dyDescent="0.35">
      <c r="A6" t="s">
        <v>28</v>
      </c>
      <c r="B6" t="s">
        <v>138</v>
      </c>
      <c r="C6" t="s">
        <v>139</v>
      </c>
      <c r="D6" t="s">
        <v>22</v>
      </c>
      <c r="E6" t="s">
        <v>12</v>
      </c>
      <c r="F6" t="str">
        <f t="shared" si="0"/>
        <v>Rework Required</v>
      </c>
    </row>
    <row r="7" spans="1:6" x14ac:dyDescent="0.35">
      <c r="A7" t="s">
        <v>33</v>
      </c>
      <c r="B7" t="s">
        <v>138</v>
      </c>
      <c r="C7" t="s">
        <v>141</v>
      </c>
      <c r="D7" t="s">
        <v>12</v>
      </c>
      <c r="E7" t="s">
        <v>140</v>
      </c>
      <c r="F7" t="str">
        <f t="shared" si="0"/>
        <v>Complete</v>
      </c>
    </row>
    <row r="8" spans="1:6" x14ac:dyDescent="0.35">
      <c r="A8" t="s">
        <v>36</v>
      </c>
      <c r="B8" t="s">
        <v>12</v>
      </c>
      <c r="C8" t="s">
        <v>141</v>
      </c>
      <c r="D8" t="s">
        <v>22</v>
      </c>
      <c r="E8" t="s">
        <v>12</v>
      </c>
      <c r="F8" t="str">
        <f t="shared" si="0"/>
        <v>Submission Pending</v>
      </c>
    </row>
    <row r="9" spans="1:6" x14ac:dyDescent="0.35">
      <c r="A9" t="s">
        <v>39</v>
      </c>
      <c r="B9" t="s">
        <v>12</v>
      </c>
      <c r="C9" t="s">
        <v>139</v>
      </c>
      <c r="D9" t="s">
        <v>12</v>
      </c>
      <c r="E9" t="s">
        <v>12</v>
      </c>
      <c r="F9" t="str">
        <f t="shared" si="0"/>
        <v>Submission Pending</v>
      </c>
    </row>
    <row r="10" spans="1:6" x14ac:dyDescent="0.35">
      <c r="A10" t="s">
        <v>41</v>
      </c>
      <c r="B10" t="s">
        <v>138</v>
      </c>
      <c r="C10" t="s">
        <v>22</v>
      </c>
      <c r="D10" t="s">
        <v>22</v>
      </c>
      <c r="E10" t="s">
        <v>12</v>
      </c>
      <c r="F10" t="str">
        <f t="shared" si="0"/>
        <v>Awaiting Final Sign-off</v>
      </c>
    </row>
    <row r="11" spans="1:6" x14ac:dyDescent="0.35">
      <c r="A11" t="s">
        <v>43</v>
      </c>
      <c r="B11" t="s">
        <v>138</v>
      </c>
      <c r="C11" t="s">
        <v>141</v>
      </c>
      <c r="D11" t="s">
        <v>22</v>
      </c>
      <c r="E11" t="s">
        <v>140</v>
      </c>
      <c r="F11" t="str">
        <f t="shared" si="0"/>
        <v>Complete</v>
      </c>
    </row>
    <row r="12" spans="1:6" x14ac:dyDescent="0.35">
      <c r="A12" t="s">
        <v>45</v>
      </c>
      <c r="B12" t="s">
        <v>12</v>
      </c>
      <c r="C12" t="s">
        <v>22</v>
      </c>
      <c r="D12" t="s">
        <v>22</v>
      </c>
      <c r="E12" t="s">
        <v>12</v>
      </c>
      <c r="F12" t="str">
        <f t="shared" si="0"/>
        <v>Submission Pending</v>
      </c>
    </row>
    <row r="13" spans="1:6" x14ac:dyDescent="0.35">
      <c r="A13" t="s">
        <v>47</v>
      </c>
      <c r="B13" t="s">
        <v>12</v>
      </c>
      <c r="C13" t="s">
        <v>22</v>
      </c>
      <c r="D13" t="s">
        <v>12</v>
      </c>
      <c r="E13" t="s">
        <v>12</v>
      </c>
      <c r="F13" t="str">
        <f t="shared" si="0"/>
        <v>Submission Pending</v>
      </c>
    </row>
    <row r="14" spans="1:6" x14ac:dyDescent="0.35">
      <c r="A14" t="s">
        <v>49</v>
      </c>
      <c r="B14" t="s">
        <v>12</v>
      </c>
      <c r="C14" t="s">
        <v>139</v>
      </c>
      <c r="D14" t="s">
        <v>22</v>
      </c>
      <c r="E14" t="s">
        <v>140</v>
      </c>
      <c r="F14" t="str">
        <f t="shared" si="0"/>
        <v>Complete</v>
      </c>
    </row>
    <row r="15" spans="1:6" x14ac:dyDescent="0.35">
      <c r="A15" t="s">
        <v>51</v>
      </c>
      <c r="B15" t="s">
        <v>12</v>
      </c>
      <c r="C15" t="s">
        <v>141</v>
      </c>
      <c r="D15" t="s">
        <v>12</v>
      </c>
      <c r="E15" t="s">
        <v>12</v>
      </c>
      <c r="F15" t="str">
        <f t="shared" si="0"/>
        <v>Submission Pending</v>
      </c>
    </row>
    <row r="16" spans="1:6" x14ac:dyDescent="0.35">
      <c r="A16" t="s">
        <v>53</v>
      </c>
      <c r="B16" t="s">
        <v>12</v>
      </c>
      <c r="C16" t="s">
        <v>22</v>
      </c>
      <c r="D16" t="s">
        <v>12</v>
      </c>
      <c r="E16" t="s">
        <v>140</v>
      </c>
      <c r="F16" t="str">
        <f t="shared" si="0"/>
        <v>Complete</v>
      </c>
    </row>
    <row r="17" spans="1:6" x14ac:dyDescent="0.35">
      <c r="A17" t="s">
        <v>55</v>
      </c>
      <c r="B17" t="s">
        <v>138</v>
      </c>
      <c r="C17" t="s">
        <v>22</v>
      </c>
      <c r="D17" t="s">
        <v>12</v>
      </c>
      <c r="E17" t="s">
        <v>12</v>
      </c>
      <c r="F17" t="str">
        <f t="shared" si="0"/>
        <v>Regulatory Review</v>
      </c>
    </row>
    <row r="18" spans="1:6" x14ac:dyDescent="0.35">
      <c r="A18" t="s">
        <v>57</v>
      </c>
      <c r="B18" t="s">
        <v>138</v>
      </c>
      <c r="C18" t="s">
        <v>139</v>
      </c>
      <c r="D18" t="s">
        <v>12</v>
      </c>
      <c r="E18" t="s">
        <v>12</v>
      </c>
      <c r="F18" t="str">
        <f t="shared" si="0"/>
        <v>Rework Required</v>
      </c>
    </row>
    <row r="19" spans="1:6" x14ac:dyDescent="0.35">
      <c r="A19" t="s">
        <v>59</v>
      </c>
      <c r="B19" t="s">
        <v>12</v>
      </c>
      <c r="C19" t="s">
        <v>141</v>
      </c>
      <c r="D19" t="s">
        <v>12</v>
      </c>
      <c r="E19" t="s">
        <v>140</v>
      </c>
      <c r="F19" t="str">
        <f t="shared" si="0"/>
        <v>Complete</v>
      </c>
    </row>
    <row r="20" spans="1:6" x14ac:dyDescent="0.35">
      <c r="A20" t="s">
        <v>61</v>
      </c>
      <c r="B20" t="s">
        <v>138</v>
      </c>
      <c r="C20" t="s">
        <v>141</v>
      </c>
      <c r="D20" t="s">
        <v>12</v>
      </c>
      <c r="E20" t="s">
        <v>12</v>
      </c>
      <c r="F20" t="str">
        <f t="shared" si="0"/>
        <v>Under Review</v>
      </c>
    </row>
    <row r="21" spans="1:6" x14ac:dyDescent="0.35">
      <c r="A21" t="s">
        <v>63</v>
      </c>
      <c r="B21" t="s">
        <v>138</v>
      </c>
      <c r="C21" t="s">
        <v>141</v>
      </c>
      <c r="D21" t="s">
        <v>12</v>
      </c>
      <c r="E21" t="s">
        <v>140</v>
      </c>
      <c r="F21" t="str">
        <f t="shared" si="0"/>
        <v>Complete</v>
      </c>
    </row>
    <row r="22" spans="1:6" x14ac:dyDescent="0.35">
      <c r="A22" t="s">
        <v>65</v>
      </c>
      <c r="B22" t="s">
        <v>138</v>
      </c>
      <c r="C22" t="s">
        <v>141</v>
      </c>
      <c r="D22" t="s">
        <v>12</v>
      </c>
      <c r="E22" t="s">
        <v>140</v>
      </c>
      <c r="F22" t="str">
        <f t="shared" si="0"/>
        <v>Complete</v>
      </c>
    </row>
    <row r="23" spans="1:6" x14ac:dyDescent="0.35">
      <c r="A23" t="s">
        <v>67</v>
      </c>
      <c r="B23" t="s">
        <v>138</v>
      </c>
      <c r="C23" t="s">
        <v>139</v>
      </c>
      <c r="D23" t="s">
        <v>22</v>
      </c>
      <c r="E23" t="s">
        <v>12</v>
      </c>
      <c r="F23" t="str">
        <f t="shared" si="0"/>
        <v>Rework Required</v>
      </c>
    </row>
    <row r="24" spans="1:6" x14ac:dyDescent="0.35">
      <c r="A24" t="s">
        <v>69</v>
      </c>
      <c r="B24" t="s">
        <v>138</v>
      </c>
      <c r="C24" t="s">
        <v>141</v>
      </c>
      <c r="D24" t="s">
        <v>12</v>
      </c>
      <c r="E24" t="s">
        <v>140</v>
      </c>
      <c r="F24" t="str">
        <f t="shared" si="0"/>
        <v>Complete</v>
      </c>
    </row>
    <row r="25" spans="1:6" x14ac:dyDescent="0.35">
      <c r="A25" t="s">
        <v>71</v>
      </c>
      <c r="B25" t="s">
        <v>138</v>
      </c>
      <c r="C25" t="s">
        <v>141</v>
      </c>
      <c r="D25" t="s">
        <v>12</v>
      </c>
      <c r="E25" t="s">
        <v>12</v>
      </c>
      <c r="F25" t="str">
        <f t="shared" si="0"/>
        <v>Under Review</v>
      </c>
    </row>
    <row r="26" spans="1:6" x14ac:dyDescent="0.35">
      <c r="A26" t="s">
        <v>73</v>
      </c>
      <c r="B26" t="s">
        <v>138</v>
      </c>
      <c r="C26" t="s">
        <v>141</v>
      </c>
      <c r="D26" t="s">
        <v>22</v>
      </c>
      <c r="E26" t="s">
        <v>12</v>
      </c>
      <c r="F26" t="str">
        <f t="shared" si="0"/>
        <v>Under Review</v>
      </c>
    </row>
    <row r="27" spans="1:6" x14ac:dyDescent="0.35">
      <c r="A27" t="s">
        <v>75</v>
      </c>
      <c r="B27" t="s">
        <v>12</v>
      </c>
      <c r="C27" t="s">
        <v>141</v>
      </c>
      <c r="D27" t="s">
        <v>12</v>
      </c>
      <c r="E27" t="s">
        <v>12</v>
      </c>
      <c r="F27" t="str">
        <f t="shared" si="0"/>
        <v>Submission Pending</v>
      </c>
    </row>
    <row r="28" spans="1:6" x14ac:dyDescent="0.35">
      <c r="A28" t="s">
        <v>77</v>
      </c>
      <c r="B28" t="s">
        <v>12</v>
      </c>
      <c r="C28" t="s">
        <v>141</v>
      </c>
      <c r="D28" t="s">
        <v>22</v>
      </c>
      <c r="E28" t="s">
        <v>140</v>
      </c>
      <c r="F28" t="str">
        <f t="shared" si="0"/>
        <v>Complete</v>
      </c>
    </row>
    <row r="29" spans="1:6" x14ac:dyDescent="0.35">
      <c r="A29" t="s">
        <v>79</v>
      </c>
      <c r="B29" t="s">
        <v>12</v>
      </c>
      <c r="C29" t="s">
        <v>141</v>
      </c>
      <c r="D29" t="s">
        <v>22</v>
      </c>
      <c r="E29" t="s">
        <v>12</v>
      </c>
      <c r="F29" t="str">
        <f t="shared" si="0"/>
        <v>Submission Pending</v>
      </c>
    </row>
    <row r="30" spans="1:6" x14ac:dyDescent="0.35">
      <c r="A30" t="s">
        <v>81</v>
      </c>
      <c r="B30" t="s">
        <v>138</v>
      </c>
      <c r="C30" t="s">
        <v>139</v>
      </c>
      <c r="D30" t="s">
        <v>22</v>
      </c>
      <c r="E30" t="s">
        <v>12</v>
      </c>
      <c r="F30" t="str">
        <f t="shared" si="0"/>
        <v>Rework Required</v>
      </c>
    </row>
    <row r="31" spans="1:6" x14ac:dyDescent="0.35">
      <c r="A31" t="s">
        <v>83</v>
      </c>
      <c r="B31" t="s">
        <v>138</v>
      </c>
      <c r="C31" t="s">
        <v>141</v>
      </c>
      <c r="D31" t="s">
        <v>22</v>
      </c>
      <c r="E31" t="s">
        <v>12</v>
      </c>
      <c r="F31" t="str">
        <f t="shared" si="0"/>
        <v>Under Review</v>
      </c>
    </row>
    <row r="32" spans="1:6" x14ac:dyDescent="0.35">
      <c r="A32" t="s">
        <v>85</v>
      </c>
      <c r="B32" t="s">
        <v>138</v>
      </c>
      <c r="C32" t="s">
        <v>22</v>
      </c>
      <c r="D32" t="s">
        <v>22</v>
      </c>
      <c r="E32" t="s">
        <v>140</v>
      </c>
      <c r="F32" t="str">
        <f t="shared" si="0"/>
        <v>Complete</v>
      </c>
    </row>
    <row r="33" spans="1:6" x14ac:dyDescent="0.35">
      <c r="A33" t="s">
        <v>87</v>
      </c>
      <c r="B33" t="s">
        <v>138</v>
      </c>
      <c r="C33" t="s">
        <v>139</v>
      </c>
      <c r="D33" t="s">
        <v>22</v>
      </c>
      <c r="E33" t="s">
        <v>140</v>
      </c>
      <c r="F33" t="str">
        <f t="shared" si="0"/>
        <v>Complete</v>
      </c>
    </row>
    <row r="34" spans="1:6" x14ac:dyDescent="0.35">
      <c r="A34" t="s">
        <v>89</v>
      </c>
      <c r="B34" t="s">
        <v>138</v>
      </c>
      <c r="C34" t="s">
        <v>141</v>
      </c>
      <c r="D34" t="s">
        <v>12</v>
      </c>
      <c r="E34" t="s">
        <v>140</v>
      </c>
      <c r="F34" t="str">
        <f t="shared" ref="F34:F51" si="1">IF(E34="Signed Off","Complete",
IF(B34="Pending","Submission Pending",
IF(C34="Changes Requested","Rework Required",
IF(C34="In Review","Under Review",
IF(D34="Pending","Regulatory Review",
"Awaiting Final Sign-off")))))</f>
        <v>Complete</v>
      </c>
    </row>
    <row r="35" spans="1:6" x14ac:dyDescent="0.35">
      <c r="A35" t="s">
        <v>91</v>
      </c>
      <c r="B35" t="s">
        <v>138</v>
      </c>
      <c r="C35" t="s">
        <v>22</v>
      </c>
      <c r="D35" t="s">
        <v>22</v>
      </c>
      <c r="E35" t="s">
        <v>140</v>
      </c>
      <c r="F35" t="str">
        <f t="shared" si="1"/>
        <v>Complete</v>
      </c>
    </row>
    <row r="36" spans="1:6" x14ac:dyDescent="0.35">
      <c r="A36" t="s">
        <v>93</v>
      </c>
      <c r="B36" t="s">
        <v>12</v>
      </c>
      <c r="C36" t="s">
        <v>139</v>
      </c>
      <c r="D36" t="s">
        <v>22</v>
      </c>
      <c r="E36" t="s">
        <v>140</v>
      </c>
      <c r="F36" t="str">
        <f t="shared" si="1"/>
        <v>Complete</v>
      </c>
    </row>
    <row r="37" spans="1:6" x14ac:dyDescent="0.35">
      <c r="A37" t="s">
        <v>95</v>
      </c>
      <c r="B37" t="s">
        <v>12</v>
      </c>
      <c r="C37" t="s">
        <v>139</v>
      </c>
      <c r="D37" t="s">
        <v>22</v>
      </c>
      <c r="E37" t="s">
        <v>12</v>
      </c>
      <c r="F37" t="str">
        <f t="shared" si="1"/>
        <v>Submission Pending</v>
      </c>
    </row>
    <row r="38" spans="1:6" x14ac:dyDescent="0.35">
      <c r="A38" t="s">
        <v>97</v>
      </c>
      <c r="B38" t="s">
        <v>12</v>
      </c>
      <c r="C38" t="s">
        <v>141</v>
      </c>
      <c r="D38" t="s">
        <v>12</v>
      </c>
      <c r="E38" t="s">
        <v>140</v>
      </c>
      <c r="F38" t="str">
        <f t="shared" si="1"/>
        <v>Complete</v>
      </c>
    </row>
    <row r="39" spans="1:6" x14ac:dyDescent="0.35">
      <c r="A39" t="s">
        <v>99</v>
      </c>
      <c r="B39" t="s">
        <v>12</v>
      </c>
      <c r="C39" t="s">
        <v>139</v>
      </c>
      <c r="D39" t="s">
        <v>12</v>
      </c>
      <c r="E39" t="s">
        <v>140</v>
      </c>
      <c r="F39" t="str">
        <f t="shared" si="1"/>
        <v>Complete</v>
      </c>
    </row>
    <row r="40" spans="1:6" x14ac:dyDescent="0.35">
      <c r="A40" t="s">
        <v>101</v>
      </c>
      <c r="B40" t="s">
        <v>138</v>
      </c>
      <c r="C40" t="s">
        <v>139</v>
      </c>
      <c r="D40" t="s">
        <v>12</v>
      </c>
      <c r="E40" t="s">
        <v>12</v>
      </c>
      <c r="F40" t="str">
        <f t="shared" si="1"/>
        <v>Rework Required</v>
      </c>
    </row>
    <row r="41" spans="1:6" x14ac:dyDescent="0.35">
      <c r="A41" t="s">
        <v>103</v>
      </c>
      <c r="B41" t="s">
        <v>12</v>
      </c>
      <c r="C41" t="s">
        <v>139</v>
      </c>
      <c r="D41" t="s">
        <v>22</v>
      </c>
      <c r="E41" t="s">
        <v>12</v>
      </c>
      <c r="F41" t="str">
        <f t="shared" si="1"/>
        <v>Submission Pending</v>
      </c>
    </row>
    <row r="42" spans="1:6" x14ac:dyDescent="0.35">
      <c r="A42" t="s">
        <v>105</v>
      </c>
      <c r="B42" t="s">
        <v>12</v>
      </c>
      <c r="C42" t="s">
        <v>22</v>
      </c>
      <c r="D42" t="s">
        <v>12</v>
      </c>
      <c r="E42" t="s">
        <v>140</v>
      </c>
      <c r="F42" t="str">
        <f t="shared" si="1"/>
        <v>Complete</v>
      </c>
    </row>
    <row r="43" spans="1:6" x14ac:dyDescent="0.35">
      <c r="A43" t="s">
        <v>107</v>
      </c>
      <c r="B43" t="s">
        <v>12</v>
      </c>
      <c r="C43" t="s">
        <v>22</v>
      </c>
      <c r="D43" t="s">
        <v>12</v>
      </c>
      <c r="E43" t="s">
        <v>140</v>
      </c>
      <c r="F43" t="str">
        <f t="shared" si="1"/>
        <v>Complete</v>
      </c>
    </row>
    <row r="44" spans="1:6" x14ac:dyDescent="0.35">
      <c r="A44" t="s">
        <v>109</v>
      </c>
      <c r="B44" t="s">
        <v>12</v>
      </c>
      <c r="C44" t="s">
        <v>141</v>
      </c>
      <c r="D44" t="s">
        <v>12</v>
      </c>
      <c r="E44" t="s">
        <v>12</v>
      </c>
      <c r="F44" t="str">
        <f t="shared" si="1"/>
        <v>Submission Pending</v>
      </c>
    </row>
    <row r="45" spans="1:6" x14ac:dyDescent="0.35">
      <c r="A45" t="s">
        <v>111</v>
      </c>
      <c r="B45" t="s">
        <v>12</v>
      </c>
      <c r="C45" t="s">
        <v>141</v>
      </c>
      <c r="D45" t="s">
        <v>22</v>
      </c>
      <c r="E45" t="s">
        <v>12</v>
      </c>
      <c r="F45" t="str">
        <f t="shared" si="1"/>
        <v>Submission Pending</v>
      </c>
    </row>
    <row r="46" spans="1:6" x14ac:dyDescent="0.35">
      <c r="A46" t="s">
        <v>113</v>
      </c>
      <c r="B46" t="s">
        <v>12</v>
      </c>
      <c r="C46" t="s">
        <v>22</v>
      </c>
      <c r="D46" t="s">
        <v>22</v>
      </c>
      <c r="E46" t="s">
        <v>140</v>
      </c>
      <c r="F46" t="str">
        <f t="shared" si="1"/>
        <v>Complete</v>
      </c>
    </row>
    <row r="47" spans="1:6" x14ac:dyDescent="0.35">
      <c r="A47" t="s">
        <v>115</v>
      </c>
      <c r="B47" t="s">
        <v>138</v>
      </c>
      <c r="C47" t="s">
        <v>139</v>
      </c>
      <c r="D47" t="s">
        <v>22</v>
      </c>
      <c r="E47" t="s">
        <v>140</v>
      </c>
      <c r="F47" t="str">
        <f t="shared" si="1"/>
        <v>Complete</v>
      </c>
    </row>
    <row r="48" spans="1:6" x14ac:dyDescent="0.35">
      <c r="A48" t="s">
        <v>117</v>
      </c>
      <c r="B48" t="s">
        <v>12</v>
      </c>
      <c r="C48" t="s">
        <v>22</v>
      </c>
      <c r="D48" t="s">
        <v>22</v>
      </c>
      <c r="E48" t="s">
        <v>140</v>
      </c>
      <c r="F48" t="str">
        <f t="shared" si="1"/>
        <v>Complete</v>
      </c>
    </row>
    <row r="49" spans="1:6" x14ac:dyDescent="0.35">
      <c r="A49" t="s">
        <v>119</v>
      </c>
      <c r="B49" t="s">
        <v>138</v>
      </c>
      <c r="C49" t="s">
        <v>139</v>
      </c>
      <c r="D49" t="s">
        <v>22</v>
      </c>
      <c r="E49" t="s">
        <v>12</v>
      </c>
      <c r="F49" t="str">
        <f t="shared" si="1"/>
        <v>Rework Required</v>
      </c>
    </row>
    <row r="50" spans="1:6" x14ac:dyDescent="0.35">
      <c r="A50" t="s">
        <v>121</v>
      </c>
      <c r="B50" t="s">
        <v>138</v>
      </c>
      <c r="C50" t="s">
        <v>22</v>
      </c>
      <c r="D50" t="s">
        <v>12</v>
      </c>
      <c r="E50" t="s">
        <v>12</v>
      </c>
      <c r="F50" t="str">
        <f t="shared" si="1"/>
        <v>Regulatory Review</v>
      </c>
    </row>
    <row r="51" spans="1:6" x14ac:dyDescent="0.35">
      <c r="A51" t="s">
        <v>123</v>
      </c>
      <c r="B51" t="s">
        <v>138</v>
      </c>
      <c r="C51" t="s">
        <v>141</v>
      </c>
      <c r="D51" t="s">
        <v>22</v>
      </c>
      <c r="E51" t="s">
        <v>12</v>
      </c>
      <c r="F51" t="str">
        <f t="shared" si="1"/>
        <v>Under Review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FA3C-8E7C-4888-8698-6A74DDA2955B}">
  <dimension ref="B4:C11"/>
  <sheetViews>
    <sheetView workbookViewId="0">
      <selection activeCell="E6" sqref="E6"/>
    </sheetView>
  </sheetViews>
  <sheetFormatPr defaultRowHeight="14.5" x14ac:dyDescent="0.35"/>
  <cols>
    <col min="1" max="1" width="12.36328125" bestFit="1" customWidth="1"/>
    <col min="2" max="2" width="19.36328125" bestFit="1" customWidth="1"/>
    <col min="3" max="3" width="18.1796875" bestFit="1" customWidth="1"/>
    <col min="5" max="5" width="18.1796875" bestFit="1" customWidth="1"/>
    <col min="6" max="6" width="15.26953125" bestFit="1" customWidth="1"/>
    <col min="7" max="7" width="17.36328125" bestFit="1" customWidth="1"/>
    <col min="8" max="8" width="8.81640625" bestFit="1" customWidth="1"/>
    <col min="9" max="9" width="13.81640625" bestFit="1" customWidth="1"/>
    <col min="10" max="10" width="9.36328125" bestFit="1" customWidth="1"/>
    <col min="11" max="11" width="17.36328125" bestFit="1" customWidth="1"/>
    <col min="12" max="12" width="8.81640625" bestFit="1" customWidth="1"/>
    <col min="13" max="13" width="12.26953125" bestFit="1" customWidth="1"/>
    <col min="14" max="14" width="10.7265625" bestFit="1" customWidth="1"/>
    <col min="15" max="15" width="11.36328125" bestFit="1" customWidth="1"/>
    <col min="16" max="16" width="17.36328125" bestFit="1" customWidth="1"/>
    <col min="17" max="17" width="8.81640625" bestFit="1" customWidth="1"/>
    <col min="18" max="18" width="13.81640625" bestFit="1" customWidth="1"/>
    <col min="19" max="19" width="9.36328125" bestFit="1" customWidth="1"/>
    <col min="20" max="20" width="17.36328125" bestFit="1" customWidth="1"/>
    <col min="21" max="21" width="8.81640625" bestFit="1" customWidth="1"/>
    <col min="22" max="22" width="12.26953125" bestFit="1" customWidth="1"/>
    <col min="23" max="23" width="14.36328125" bestFit="1" customWidth="1"/>
    <col min="24" max="24" width="10.7265625" bestFit="1" customWidth="1"/>
  </cols>
  <sheetData>
    <row r="4" spans="2:3" x14ac:dyDescent="0.35">
      <c r="B4" s="18" t="s">
        <v>189</v>
      </c>
      <c r="C4" t="s">
        <v>152</v>
      </c>
    </row>
    <row r="5" spans="2:3" x14ac:dyDescent="0.35">
      <c r="B5" s="19" t="s">
        <v>185</v>
      </c>
      <c r="C5" s="17">
        <v>1</v>
      </c>
    </row>
    <row r="6" spans="2:3" x14ac:dyDescent="0.35">
      <c r="B6" s="19" t="s">
        <v>186</v>
      </c>
      <c r="C6" s="17">
        <v>2</v>
      </c>
    </row>
    <row r="7" spans="2:3" x14ac:dyDescent="0.35">
      <c r="B7" s="19" t="s">
        <v>32</v>
      </c>
      <c r="C7" s="17">
        <v>6</v>
      </c>
    </row>
    <row r="8" spans="2:3" x14ac:dyDescent="0.35">
      <c r="B8" s="19" t="s">
        <v>187</v>
      </c>
      <c r="C8" s="17">
        <v>7</v>
      </c>
    </row>
    <row r="9" spans="2:3" x14ac:dyDescent="0.35">
      <c r="B9" s="19" t="s">
        <v>188</v>
      </c>
      <c r="C9" s="17">
        <v>12</v>
      </c>
    </row>
    <row r="10" spans="2:3" x14ac:dyDescent="0.35">
      <c r="B10" s="19" t="s">
        <v>183</v>
      </c>
      <c r="C10" s="17">
        <v>22</v>
      </c>
    </row>
    <row r="11" spans="2:3" x14ac:dyDescent="0.35">
      <c r="B11" s="19" t="s">
        <v>151</v>
      </c>
      <c r="C11" s="17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A06B-E5AD-4FEF-9606-16B8C8F1604A}">
  <dimension ref="A1:K11"/>
  <sheetViews>
    <sheetView showGridLines="0" tabSelected="1" workbookViewId="0">
      <selection activeCell="K18" sqref="K18"/>
    </sheetView>
  </sheetViews>
  <sheetFormatPr defaultRowHeight="14.5" x14ac:dyDescent="0.35"/>
  <sheetData>
    <row r="1" spans="1:11" x14ac:dyDescent="0.35">
      <c r="A1" s="47" t="s">
        <v>190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5" thickBot="1" x14ac:dyDescent="0.4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</row>
    <row r="4" spans="1:11" x14ac:dyDescent="0.35">
      <c r="A4" s="46" t="s">
        <v>193</v>
      </c>
      <c r="B4" s="46"/>
      <c r="C4" s="46"/>
      <c r="D4" s="46"/>
      <c r="E4" s="46"/>
      <c r="F4" s="46"/>
      <c r="G4" s="46"/>
      <c r="H4" s="46"/>
    </row>
    <row r="5" spans="1:11" x14ac:dyDescent="0.35">
      <c r="A5" s="46" t="s">
        <v>194</v>
      </c>
      <c r="B5" s="46"/>
      <c r="C5" s="46"/>
      <c r="D5" s="46"/>
      <c r="E5" s="46"/>
      <c r="F5" s="46"/>
      <c r="G5" s="46"/>
      <c r="H5" s="46"/>
    </row>
    <row r="6" spans="1:11" x14ac:dyDescent="0.35">
      <c r="A6" s="46" t="s">
        <v>195</v>
      </c>
      <c r="B6" s="46"/>
      <c r="C6" s="46"/>
      <c r="D6" s="46"/>
      <c r="E6" s="46"/>
      <c r="F6" s="46"/>
      <c r="G6" s="46"/>
      <c r="H6" s="46"/>
    </row>
    <row r="7" spans="1:11" x14ac:dyDescent="0.35">
      <c r="A7" s="46" t="s">
        <v>196</v>
      </c>
      <c r="B7" s="46"/>
      <c r="C7" s="46"/>
      <c r="D7" s="46"/>
      <c r="E7" s="46"/>
      <c r="F7" s="46"/>
      <c r="G7" s="46"/>
      <c r="H7" s="46"/>
    </row>
    <row r="8" spans="1:11" x14ac:dyDescent="0.35">
      <c r="A8" s="46" t="s">
        <v>197</v>
      </c>
      <c r="B8" s="46"/>
      <c r="C8" s="46"/>
      <c r="D8" s="46"/>
      <c r="E8" s="46"/>
      <c r="F8" s="46"/>
      <c r="G8" s="46"/>
      <c r="H8" s="46"/>
    </row>
    <row r="9" spans="1:11" x14ac:dyDescent="0.35">
      <c r="A9" s="46" t="s">
        <v>198</v>
      </c>
      <c r="B9" s="46"/>
      <c r="C9" s="46"/>
      <c r="D9" s="46"/>
      <c r="E9" s="46"/>
      <c r="F9" s="46"/>
      <c r="G9" s="46"/>
      <c r="H9" s="46"/>
    </row>
    <row r="10" spans="1:11" x14ac:dyDescent="0.35">
      <c r="A10" s="46" t="s">
        <v>191</v>
      </c>
      <c r="B10" s="46"/>
      <c r="C10" s="46"/>
      <c r="D10" s="46"/>
      <c r="E10" s="46"/>
      <c r="F10" s="46"/>
      <c r="G10" s="46"/>
      <c r="H10" s="46"/>
    </row>
    <row r="11" spans="1:11" x14ac:dyDescent="0.35">
      <c r="A11" s="46" t="s">
        <v>192</v>
      </c>
      <c r="B11" s="46"/>
      <c r="C11" s="46"/>
      <c r="D11" s="46"/>
      <c r="E11" s="46"/>
      <c r="F11" s="46"/>
      <c r="G11" s="46"/>
      <c r="H11" s="46"/>
    </row>
  </sheetData>
  <mergeCells count="1">
    <mergeCell ref="A1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Launch_Tracker</vt:lpstr>
      <vt:lpstr>Weekly Launch Report</vt:lpstr>
      <vt:lpstr>Sales_Data</vt:lpstr>
      <vt:lpstr>Sales Tracker</vt:lpstr>
      <vt:lpstr>Inventory</vt:lpstr>
      <vt:lpstr>Reorder Plan</vt:lpstr>
      <vt:lpstr>Artwork_Pipeline</vt:lpstr>
      <vt:lpstr>Artwork Progress</vt:lpstr>
      <vt:lpstr>Executive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S</cp:lastModifiedBy>
  <dcterms:created xsi:type="dcterms:W3CDTF">2026-06-24T14:22:43Z</dcterms:created>
  <dcterms:modified xsi:type="dcterms:W3CDTF">2026-06-25T06:20:05Z</dcterms:modified>
</cp:coreProperties>
</file>